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5628abf80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чать здесь" sheetId="1" r:id="R4a8899671a214bb2"/>
    <x:sheet xmlns:r="http://schemas.openxmlformats.org/officeDocument/2006/relationships" name="Воркшопы" sheetId="2" r:id="R02775348b7244535"/>
    <x:sheet xmlns:r="http://schemas.openxmlformats.org/officeDocument/2006/relationships" name="Конференции" sheetId="3" r:id="Ra359a50ebb55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;[Red]-0;0"/>
  </x:numFmts>
  <x:fonts count="7">
    <x:font>
      <x:sz val="11"/>
      <x:name val="Carlito"/>
    </x:font>
    <x:font>
      <x:sz val="11"/>
      <x:color rgb="FF202B3A"/>
      <x:name val="Arial"/>
    </x:font>
    <x:font>
      <x:b/>
      <x:sz val="16"/>
      <x:color rgb="FF203650"/>
      <x:name val="Arial"/>
    </x:font>
    <x:font>
      <x:b/>
      <x:sz val="11"/>
      <x:color rgb="FF203650"/>
      <x:name val="Arial"/>
    </x:font>
    <x:font>
      <x:sz val="10"/>
      <x:color rgb="FF245EA6"/>
      <x:name val="Arial"/>
    </x:font>
    <x:font>
      <x:b/>
      <x:sz val="11"/>
      <x:color rgb="FFFFFFFF"/>
      <x:name val="Arial"/>
    </x:font>
    <x:font>
      <x:b/>
      <x:sz val="11"/>
      <x:color rgb="FF80580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FFFFFF"/>
      </x:patternFill>
    </x:fill>
    <x:fill>
      <x:patternFill patternType="solid">
        <x:fgColor rgb="FF273F60"/>
      </x:patternFill>
    </x:fill>
    <x:fill>
      <x:patternFill patternType="solid">
        <x:fgColor rgb="FFFFF0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color rgb="FF6A7380"/>
      </x:font>
      <x:fill>
        <x:patternFill>
          <x:bgColor rgb="FFEEF0F3"/>
        </x:patternFill>
      </x:fill>
    </x:dxf>
    <x:dxf>
      <x:font>
        <x:b/>
        <x:color rgb="FF20563C"/>
      </x:font>
      <x:fill>
        <x:patternFill>
          <x:bgColor rgb="FFDFEDE6"/>
        </x:patternFill>
      </x:fill>
    </x:dxf>
    <x:dxf>
      <x:font>
        <x:color rgb="FF80580D"/>
      </x:font>
      <x:fill>
        <x:patternFill>
          <x:bgColor rgb="FFFFF0CD"/>
        </x:patternFill>
      </x:fill>
    </x:dxf>
    <x:dxf>
      <x:font>
        <x:color rgb="FF6A7380"/>
      </x:font>
      <x:fill>
        <x:patternFill>
          <x:bgColor rgb="FFEEF0F3"/>
        </x:patternFill>
      </x:fill>
    </x:dxf>
    <x:dxf>
      <x:font>
        <x:b/>
        <x:color rgb="FF20563C"/>
      </x:font>
      <x:fill>
        <x:patternFill>
          <x:bgColor rgb="FFDFEDE6"/>
        </x:patternFill>
      </x:fill>
    </x:dxf>
    <x:dxf>
      <x:font>
        <x:color rgb="FF80580D"/>
      </x:font>
      <x:fill>
        <x:patternFill>
          <x:bgColor rgb="FFFFF0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ae9ab80c24223" /><Relationship Type="http://schemas.openxmlformats.org/officeDocument/2006/relationships/theme" Target="/xl/theme/theme1.xml" Id="Racb1e587272b4570" /><Relationship Type="http://schemas.openxmlformats.org/officeDocument/2006/relationships/sharedStrings" Target="/xl/sharedStrings.xml" Id="R5472a413e7b24788" /><Relationship Type="http://schemas.openxmlformats.org/officeDocument/2006/relationships/worksheet" Target="/xl/worksheets/sheet1.xml" Id="R4a8899671a214bb2" /><Relationship Type="http://schemas.openxmlformats.org/officeDocument/2006/relationships/worksheet" Target="/xl/worksheets/sheet2.xml" Id="R02775348b7244535" /><Relationship Type="http://schemas.openxmlformats.org/officeDocument/2006/relationships/worksheet" Target="/xl/worksheets/sheet3.xml" Id="Ra359a50ebb554504" /></Relationships>
</file>

<file path=xl/tables/table1.xml><?xml version="1.0" encoding="utf-8"?>
<x:table xmlns:x="http://schemas.openxmlformats.org/spreadsheetml/2006/main" id="1" name="SubmissionRoutes" displayName="SubmissionRoutes" ref="A5:H13" headerRowCount="1" totalsRowCount="0" totalsRowShown="0">
  <x:tableColumns count="8">
    <x:tableColumn id="1" name="Приоритет"/>
    <x:tableColumn id="2" name="Маршрут"/>
    <x:tableColumn id="3" name="Целевая дата"/>
    <x:tableColumn id="4" name="Тип даты"/>
    <x:tableColumn id="5" name="Что подготовить"/>
    <x:tableColumn id="6" name="Условие выбора"/>
    <x:tableColumn id="7" name="ID в таблицах"/>
    <x:tableColumn id="8" name="Официальный CF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shopDeadlines" displayName="WorkshopDeadlines" ref="A5:S18" headerRowCount="1" totalsRowCount="0" totalsRowShown="0">
  <x:tableColumns count="19">
    <x:tableColumn id="1" name="ID"/>
    <x:tableColumn id="2" name="Площадка / трек"/>
    <x:tableColumn id="3" name="Статус на 14.10.2026"/>
    <x:tableColumn id="4" name="Статья: дедлайн"/>
    <x:tableColumn id="5" name="Abstract / регистрация"/>
    <x:tableColumn id="6" name="Время и часовой пояс"/>
    <x:tableColumn id="7" name="Notification"/>
    <x:tableColumn id="8" name="Camera-ready"/>
    <x:tableColumn id="9" name="Мероприятие: даты / год"/>
    <x:tableColumn id="10" name="Место"/>
    <x:tableColumn id="11" name="Приоритет"/>
    <x:tableColumn id="12" name="Связь с темой"/>
    <x:tableColumn id="13" name="Формат / публикация"/>
    <x:tableColumn id="14" name="Что подавать"/>
    <x:tableColumn id="15" name="Ограничения / надёжность дат"/>
    <x:tableColumn id="16" name="Официальный CFP"/>
    <x:tableColumn id="17" name="Дополнительный источник"/>
    <x:tableColumn id="18" name="Проверено"/>
    <x:tableColumn id="19" name="До даты D, дней от проверк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ferenceDeadlines" displayName="ConferenceDeadlines" ref="A5:S18" headerRowCount="1" totalsRowCount="0" totalsRowShown="0">
  <x:tableColumns count="19">
    <x:tableColumn id="1" name="ID"/>
    <x:tableColumn id="2" name="Площадка / трек"/>
    <x:tableColumn id="3" name="Статус на 14.10.2026"/>
    <x:tableColumn id="4" name="Статья: дедлайн"/>
    <x:tableColumn id="5" name="Abstract / регистрация"/>
    <x:tableColumn id="6" name="Время и часовой пояс"/>
    <x:tableColumn id="7" name="Notification"/>
    <x:tableColumn id="8" name="Camera-ready"/>
    <x:tableColumn id="9" name="Мероприятие: даты / год"/>
    <x:tableColumn id="10" name="Место"/>
    <x:tableColumn id="11" name="Приоритет"/>
    <x:tableColumn id="12" name="Связь с темой"/>
    <x:tableColumn id="13" name="Формат / публикация"/>
    <x:tableColumn id="14" name="Что подавать"/>
    <x:tableColumn id="15" name="Ограничения / надёжность дат"/>
    <x:tableColumn id="16" name="Официальный CFP"/>
    <x:tableColumn id="17" name="Дополнительный источник"/>
    <x:tableColumn id="18" name="Проверено"/>
    <x:tableColumn id="19" name="До даты D, дней от провер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08f40bb6e64d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458db4f7e44f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e0013687114bc1" /></Relationships>
</file>

<file path=xl/worksheets/sheet1.xml><?xml version="1.0" encoding="utf-8"?>
<x:worksheet xmlns:x="http://schemas.openxmlformats.org/spreadsheetml/2006/main">
  <x:sheetPr>
    <x:tabColor rgb="FF273F60"/>
  </x:sheetPr>
  <x:sheetViews>
    <x:sheetView showGridLines="0" workbookViewId="0"/>
  </x:sheetViews>
  <x:sheetFormatPr defaultRowHeight="15"/>
  <x:cols>
    <x:col min="1" max="1" width="15" hidden="0" customWidth="1"/>
    <x:col min="2" max="2" width="33" hidden="0" customWidth="1"/>
    <x:col min="3" max="3" width="17" hidden="0" customWidth="1"/>
    <x:col min="4" max="4" width="30" hidden="0" customWidth="1"/>
    <x:col min="5" max="5" width="44" hidden="0" customWidth="1"/>
    <x:col min="6" max="6" width="44" hidden="0" customWidth="1"/>
    <x:col min="7" max="7" width="18" hidden="0" customWidth="1"/>
    <x:col min="8" max="8" width="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Куда подавать дипломное исследование</x:v>
      </x:c>
      <x:c r="B2" s="2"/>
      <x:c r="C2" s="2"/>
      <x:c r="D2" s="2"/>
      <x:c r="E2" s="2"/>
      <x:c r="F2" s="2"/>
      <x:c r="G2" s="2"/>
      <x:c r="H2" s="2"/>
    </x:row>
    <x:row r="3" ht="30" customHeight="1">
      <x:c r="A3" s="2" t="str">
        <x:v>Проверено</x:v>
      </x:c>
      <x:c r="B3" s="4" t="n">
        <x:v>46314</x:v>
      </x:c>
      <x:c r="C3" s="2"/>
      <x:c r="D3" s="2" t="str">
        <x:v>26 вариантов. Действующие/ожидаемые CFP проверены 19.10; архив — с датами прежней проверки.</x:v>
      </x:c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0" customHeight="1">
      <x:c r="A5" s="21" t="str">
        <x:v>Приоритет</x:v>
      </x:c>
      <x:c r="B5" s="21" t="str">
        <x:v>Маршрут</x:v>
      </x:c>
      <x:c r="C5" s="21" t="str">
        <x:v>Целевая дата</x:v>
      </x:c>
      <x:c r="D5" s="21" t="str">
        <x:v>Тип даты</x:v>
      </x:c>
      <x:c r="E5" s="21" t="str">
        <x:v>Что подготовить</x:v>
      </x:c>
      <x:c r="F5" s="21" t="str">
        <x:v>Условие выбора</x:v>
      </x:c>
      <x:c r="G5" s="21" t="str">
        <x:v>ID в таблицах</x:v>
      </x:c>
      <x:c r="H5" s="21" t="str">
        <x:v>Официальный CFP</x:v>
      </x:c>
    </x:row>
    <x:row r="6" ht="66" customHeight="1">
      <x:c r="A6" s="10" t="str">
        <x:v>1</x:v>
      </x:c>
      <x:c r="B6" s="10" t="str">
        <x:v>WSDM workshops</x:v>
      </x:c>
      <x:c r="C6" s="11" t="n">
        <x:v>46320</x:v>
      </x:c>
      <x:c r="D6" s="10" t="str">
        <x:v>Ожидаемая публикация CFP</x:v>
      </x:c>
      <x:c r="E6" s="10" t="str">
        <x:v>Черновик и первые quality/cost результаты; проверить новые CFP к 25.10</x:v>
      </x:c>
      <x:c r="F6" s="10" t="str">
        <x:v>Первые CFP появились (LLM4ECommerce); нужен профильный workshop. 30.11 — лишь верхняя граница</x:v>
      </x:c>
      <x:c r="G6" s="10" t="str">
        <x:v>W02</x:v>
      </x:c>
      <x:c r="H6" s="10" t="str">
        <x:f>IFERROR(HYPERLINK("https://www.wsdm-conference.org/2027/cfworkshops.html","https://www.wsdm-conference.org/2027/cfworkshops.html"),"https://www.wsdm-conference.org/2027/cfworkshops.html")</x:f>
        <x:v>https://www.wsdm-conference.org/2027/cfworkshops.html</x:v>
      </x:c>
    </x:row>
    <x:row r="7" ht="66" customHeight="1">
      <x:c r="A7" s="13" t="str">
        <x:v>2</x:v>
      </x:c>
      <x:c r="B7" s="13" t="str">
        <x:v>ECIR workshops</x:v>
      </x:c>
      <x:c r="C7" s="14" t="n">
        <x:v>46314</x:v>
      </x:c>
      <x:c r="D7" s="13" t="str">
        <x:v>Уведомление организаторов</x:v>
      </x:c>
      <x:c r="E7" s="13" t="str">
        <x:v>После решения организаторам 19.10 ждать публикации списка и авторских CFP</x:v>
      </x:c>
      <x:c r="F7" s="13" t="str">
        <x:v>На проверенных Programme / workshop call сроки авторских статей пока не найдены</x:v>
      </x:c>
      <x:c r="G7" s="13" t="str">
        <x:v>W03</x:v>
      </x:c>
      <x:c r="H7" s="13" t="str">
        <x:f>IFERROR(HYPERLINK("https://www.ecir2027.co.uk/call-for-workshops","https://www.ecir2027.co.uk/call-for-workshops"),"https://www.ecir2027.co.uk/call-for-workshops")</x:f>
        <x:v>https://www.ecir2027.co.uk/call-for-workshops</x:v>
      </x:c>
    </x:row>
    <x:row r="8" ht="66" customHeight="1">
      <x:c r="A8" s="10" t="str">
        <x:v>3</x:v>
      </x:c>
      <x:c r="B8" s="10" t="str">
        <x:v>EAIM · music recommendation</x:v>
      </x:c>
      <x:c r="C8" s="11" t="n">
        <x:v>46330</x:v>
      </x:c>
      <x:c r="D8" s="10" t="str">
        <x:v>Рабочая цель при расхождении</x:v>
      </x:c>
      <x:c r="E8" s="10" t="str">
        <x:v>Music RecSys story; 8–11 стр. PMLR</x:v>
      </x:c>
      <x:c r="F8" s="10" t="str">
        <x:v>Сайт указывает 06.11, AAAI — 04.11; уточнить и обосновать fit</x:v>
      </x:c>
      <x:c r="G8" s="10" t="str">
        <x:v>W01</x:v>
      </x:c>
      <x:c r="H8" s="10" t="str">
        <x:f>IFERROR(HYPERLINK("https://amaai-lab.github.io/EAIM2027/","https://amaai-lab.github.io/EAIM2027/"),"https://amaai-lab.github.io/EAIM2027/")</x:f>
        <x:v>https://amaai-lab.github.io/EAIM2027/</x:v>
      </x:c>
    </x:row>
    <x:row r="9" ht="66" customHeight="1">
      <x:c r="A9" s="13" t="str">
        <x:v>4</x:v>
      </x:c>
      <x:c r="B9" s="13" t="str">
        <x:v>WSDM Short Papers</x:v>
      </x:c>
      <x:c r="C9" s="14" t="n">
        <x:v>46343</x:v>
      </x:c>
      <x:c r="D9" s="13" t="str">
        <x:v>Подтверждённая подача</x:v>
      </x:c>
      <x:c r="E9" s="13" t="str">
        <x:v>Законченный узкий эксперимент; до 4 стр. + refs/ethics</x:v>
      </x:c>
      <x:c r="F9" s="13" t="str">
        <x:v>Если к ноябрю есть эмпирический результат; это main track</x:v>
      </x:c>
      <x:c r="G9" s="13" t="str">
        <x:v>C01</x:v>
      </x:c>
      <x:c r="H9" s="13" t="str">
        <x:f>IFERROR(HYPERLINK("https://www.wsdm-conference.org/2027/cfsp.html","https://www.wsdm-conference.org/2027/cfsp.html"),"https://www.wsdm-conference.org/2027/cfsp.html")</x:f>
        <x:v>https://www.wsdm-conference.org/2027/cfsp.html</x:v>
      </x:c>
    </x:row>
    <x:row r="10" ht="66" customHeight="1">
      <x:c r="A10" s="10" t="str">
        <x:v>5</x:v>
      </x:c>
      <x:c r="B10" s="10" t="str">
        <x:v>WWW Short Papers</x:v>
      </x:c>
      <x:c r="C10" s="11" t="n">
        <x:v>46335</x:v>
      </x:c>
      <x:c r="D10" s="10" t="str">
        <x:v>Обязательный abstract</x:v>
      </x:c>
      <x:c r="E10" s="10" t="str">
        <x:v>4 стр. ВСЕГО; paper 16.11</x:v>
      </x:c>
      <x:c r="F10" s="10" t="str">
        <x:v>Показать научный вклад в Web recommendation</x:v>
      </x:c>
      <x:c r="G10" s="10" t="str">
        <x:v>C02</x:v>
      </x:c>
      <x:c r="H10" s="10" t="str">
        <x:f>IFERROR(HYPERLINK("https://www2027.thewebconf.org/important-dates/","https://www2027.thewebconf.org/important-dates/"),"https://www2027.thewebconf.org/important-dates/")</x:f>
        <x:v>https://www2027.thewebconf.org/important-dates/</x:v>
      </x:c>
    </x:row>
    <x:row r="11" ht="66" customHeight="1">
      <x:c r="A11" s="13" t="str">
        <x:v>6</x:v>
      </x:c>
      <x:c r="B11" s="13" t="str">
        <x:v>EMC² · efficiency</x:v>
      </x:c>
      <x:c r="C11" s="14" t="n">
        <x:v>46395</x:v>
      </x:c>
      <x:c r="D11" s="13" t="str">
        <x:v>Подтверждённая подача 2027</x:v>
      </x:c>
      <x:c r="E11" s="13" t="str">
        <x:v>Pareto quality/latency/memory; все расходы refresh</x:v>
      </x:c>
      <x:c r="F11" s="13" t="str">
        <x:v>Больше времени на эксперименты; уточнить конфликт форматов</x:v>
      </x:c>
      <x:c r="G11" s="13" t="str">
        <x:v>W04</x:v>
      </x:c>
      <x:c r="H11" s="13" t="str">
        <x:f>IFERROR(HYPERLINK("https://www.emc2-ai.org/aaai-27","https://www.emc2-ai.org/aaai-27"),"https://www.emc2-ai.org/aaai-27")</x:f>
        <x:v>https://www.emc2-ai.org/aaai-27</x:v>
      </x:c>
    </x:row>
    <x:row r="12" ht="66" customHeight="1">
      <x:c r="A12" s="10" t="str">
        <x:v>7</x:v>
      </x:c>
      <x:c r="B12" s="10" t="str">
        <x:v>Профильные серии следующего цикла</x:v>
      </x:c>
      <x:c r="C12" s="11"/>
      <x:c r="D12" s="10" t="str">
        <x:v>2027 CFP ещё не подтверждены</x:v>
      </x:c>
      <x:c r="E12" s="10" t="str">
        <x:v>Одно сильное исследование, затем адаптация под CFP</x:v>
      </x:c>
      <x:c r="F12" s="10" t="str">
        <x:v>ReNeuIR, OARS, RecTemp, MuRS, FRAME</x:v>
      </x:c>
      <x:c r="G12" s="10" t="str">
        <x:v>W06–W10</x:v>
      </x:c>
      <x:c r="H12" s="10" t="str">
        <x:f>IFERROR(HYPERLINK("https://recsys.acm.org/recsys26/workshops/","https://recsys.acm.org/recsys26/workshops/"),"https://recsys.acm.org/recsys26/workshops/")</x:f>
        <x:v>https://recsys.acm.org/recsys26/workshops/</x:v>
      </x:c>
    </x:row>
    <x:row r="13" ht="66" customHeight="1">
      <x:c r="A13" s="13" t="str">
        <x:v>8</x:v>
      </x:c>
      <x:c r="B13" s="13" t="str">
        <x:v>Resource track как отдельный маршрут</x:v>
      </x:c>
      <x:c r="C13" s="14" t="n">
        <x:v>46328</x:v>
      </x:c>
      <x:c r="D13" s="13" t="str">
        <x:v>ECIR resource; WWW — 17.12</x:v>
      </x:c>
      <x:c r="E13" s="13" t="str">
        <x:v>Публичный replay/benchmark toolkit, лицензия, документация</x:v>
      </x:c>
      <x:c r="F13" s="13" t="str">
        <x:v>Только если создаём полезный переиспользуемый ресурс</x:v>
      </x:c>
      <x:c r="G13" s="13" t="str">
        <x:v>C04–C05</x:v>
      </x:c>
      <x:c r="H13" s="13" t="str">
        <x:f>IFERROR(HYPERLINK("https://www.ecir2027.co.uk/call-for-resource-papers","https://www.ecir2027.co.uk/call-for-resource-papers"),"https://www.ecir2027.co.uk/call-for-resource-papers")</x:f>
        <x:v>https://www.ecir2027.co.uk/call-for-resource-papers</x:v>
      </x:c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 ht="42" customHeight="1">
      <x:c r="A16" s="6" t="str">
        <x:v>Как читать</x:v>
      </x:c>
      <x:c r="B16" s="5" t="str">
        <x:v>Основа — календарные дедлайны 2026. Мероприятие часто проходит в 2027. Январские подачи 2027 помечены отдельно.</x:v>
      </x:c>
      <x:c r="C16" s="5"/>
      <x:c r="D16" s="5"/>
      <x:c r="E16" s="5"/>
      <x:c r="F16" s="5"/>
      <x:c r="G16" s="5"/>
      <x:c r="H16" s="5"/>
    </x:row>
    <x:row r="17" ht="42" customHeight="1">
      <x:c r="A17" s="6" t="str">
        <x:v>Под тему</x:v>
      </x:c>
      <x:c r="B17" s="5" t="str">
        <x:v>Efficient user representation computation / maintenance; sequential RecSys; cached long history + recent encoder; Yambda-50M; offline replay.</x:v>
      </x:c>
      <x:c r="C17" s="5"/>
      <x:c r="D17" s="5"/>
      <x:c r="E17" s="5"/>
      <x:c r="F17" s="5"/>
      <x:c r="G17" s="5"/>
      <x:c r="H17" s="5"/>
    </x:row>
    <x:row r="18" ht="42" customHeight="1">
      <x:c r="A18" s="6" t="str">
        <x:v>Приоритеты</x:v>
      </x:c>
      <x:c r="B18" s="5" t="str">
        <x:v>A — профильная площадка/действие; B — запасной или условный маршрут; C — смежная тема либо уже зрелая работа. Это оценка соответствия, не вероятности принятия.</x:v>
      </x:c>
      <x:c r="C18" s="5"/>
      <x:c r="D18" s="5"/>
      <x:c r="E18" s="5"/>
      <x:c r="F18" s="5"/>
      <x:c r="G18" s="5"/>
      <x:c r="H18" s="5"/>
    </x:row>
    <x:row r="19" ht="60" customHeight="1">
      <x:c r="A19" s="6" t="str">
        <x:v>Первые результаты</x:v>
      </x:c>
      <x:c r="B19" s="5" t="str">
        <x:v>Fixed weights; global chronological replay; baselines: full refresh, never/periodic refresh; NDCG@10 / Recall@100; время refresh, recent encoder, scoring, controller; память кэша.</x:v>
      </x:c>
      <x:c r="C19" s="5"/>
      <x:c r="D19" s="5"/>
      <x:c r="E19" s="5"/>
      <x:c r="F19" s="5"/>
      <x:c r="G19" s="5"/>
      <x:c r="H19" s="5"/>
    </x:row>
    <x:row r="20" ht="42" customHeight="1">
      <x:c r="A20" s="6" t="str">
        <x:v>Разные виды кэша</x:v>
      </x:c>
      <x:c r="B20" s="5" t="str">
        <x:v>Cached user representation и exact KV reuse — отдельные эксперименты. Controller имеет смысл только если свежесть даёт измеримую пользу.</x:v>
      </x:c>
      <x:c r="C20" s="5"/>
      <x:c r="D20" s="5"/>
      <x:c r="E20" s="5"/>
      <x:c r="F20" s="5"/>
      <x:c r="G20" s="5"/>
      <x:c r="H20" s="5"/>
    </x:row>
    <x:row r="21" ht="54" customHeight="1">
      <x:c r="A21" s="6" t="str">
        <x:v>Время</x:v>
      </x:c>
      <x:c r="B21" s="5" t="str">
        <x:v>AoE = UTC−12; 23:59 AoE = 14:59 следующего дня в Москве. WWW Full: abstract 18.10 AoE = 19.10, 14:59 МСК; далее paper только с вовремя поданным abstract. S считает календарные дни, без часа/зоны.</x:v>
      </x:c>
      <x:c r="C21" s="5"/>
      <x:c r="D21" s="5"/>
      <x:c r="E21" s="5"/>
      <x:c r="F21" s="5"/>
      <x:c r="G21" s="5"/>
      <x:c r="H21" s="5"/>
    </x:row>
    <x:row r="22" ht="54" customHeight="1">
      <x:c r="A22" s="6" t="str">
        <x:v>Статус дат</x:v>
      </x:c>
      <x:c r="B22" s="5" t="str">
        <x:v>WSDM workshop 30.11 — верхняя граница; первые отдельные CFP появились. ECIR 19.10 — уведомление организаторов. EAIM: сайт 06.11, AAAI 04.11; EMC²: форматы расходятся. SIGIR Full: даты всё ещё PROPOSED.</x:v>
      </x:c>
      <x:c r="C22" s="5"/>
      <x:c r="D22" s="5"/>
      <x:c r="E22" s="5"/>
      <x:c r="F22" s="5"/>
      <x:c r="G22" s="5"/>
      <x:c r="H22" s="5"/>
    </x:row>
    <x:row r="23" ht="42" customHeight="1">
      <x:c r="A23" s="6" t="str">
        <x:v>Реалистичный выбор</x:v>
      </x:c>
      <x:c r="B23" s="5" t="str">
        <x:v>Сначала профильный workshop/short paper с узким доказанным результатом. Workshop не гарантирует принятие; для эмпирических выводов нужны эксперименты.</x:v>
      </x:c>
      <x:c r="C23" s="5"/>
      <x:c r="D23" s="5"/>
      <x:c r="E23" s="5"/>
      <x:c r="F23" s="5"/>
      <x:c r="G23" s="5"/>
      <x:c r="H23" s="5"/>
    </x:row>
    <x:row r="24" ht="42" customHeight="1">
      <x:c r="A24" s="6" t="str">
        <x:v>Перед отправкой</x:v>
      </x:c>
      <x:c r="B24" s="5" t="str">
        <x:v>Перепроверить CFP, правила одновременной подачи, archival/non-archival, формат, очное участие, регистрацию и возможные publication fees. Не подавать один текст одновременно без явного разрешения.</x:v>
      </x:c>
      <x:c r="C24" s="5"/>
      <x:c r="D24" s="5"/>
      <x:c r="E24" s="5"/>
      <x:c r="F24" s="5"/>
      <x:c r="G24" s="5"/>
      <x:c r="H24" s="5"/>
    </x:row>
    <x:row r="25" ht="42" customHeight="1">
      <x:c r="A25" s="6" t="str">
        <x:v>Исходная структура</x:v>
      </x:c>
      <x:c r="B25" s="5" t="str">
        <x:v>Сохранены paper/abstract, notification, camera-ready, даты и место; добавлены тематический fit, требования, статус и ссылки. Таблица руководителя не изменялась.</x:v>
      </x:c>
      <x:c r="C25" s="5"/>
      <x:c r="D25" s="5"/>
      <x:c r="E25" s="5"/>
      <x:c r="F25" s="5"/>
      <x:c r="G25" s="5"/>
      <x:c r="H25" s="5"/>
    </x:row>
    <x:row r="26" ht="42" customHeight="1">
      <x:c r="A26" s="6" t="str">
        <x:v>Таблица руководителя</x:v>
      </x:c>
      <x:c r="B26" s="5" t="str">
        <x:v>https://docs.google.com/spreadsheets/d/1DRbl0jZY_xChmb-kkEIdfYNwT2t-PZEz/edit?gid=431859828#gid=431859828</x:v>
      </x:c>
      <x:c r="C26" s="5"/>
      <x:c r="D26" s="5"/>
      <x:c r="E26" s="5"/>
      <x:c r="F26" s="5"/>
      <x:c r="G26" s="5"/>
      <x:c r="H26" s="5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 ht="54" customHeight="1">
      <x:c r="A28" s="24" t="str">
        <x:v>Срочно 19.10</x:v>
      </x:c>
      <x:c r="B28" s="23" t="str">
        <x:v>C03 WWW Full: abstract до 14:59 МСК; paper 25.10 AoE только при регистрации abstract. C06 ECIR Replicability: paper сегодня только с abstract от 12.10; час/зона не опубликованы.</x:v>
      </x:c>
      <x:c r="C28" s="23"/>
      <x:c r="D28" s="23"/>
      <x:c r="E28" s="23"/>
      <x:c r="F28" s="23"/>
      <x:c r="G28" s="23"/>
      <x:c r="H28" s="23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</x:sheetData>
  <x:mergeCells>
    <x:mergeCell ref="B16:H16"/>
    <x:mergeCell ref="B17:H17"/>
    <x:mergeCell ref="B18:H18"/>
    <x:mergeCell ref="B19:H19"/>
    <x:mergeCell ref="B20:H20"/>
    <x:mergeCell ref="B21:H21"/>
    <x:mergeCell ref="B22:H22"/>
    <x:mergeCell ref="B23:H23"/>
    <x:mergeCell ref="B24:H24"/>
    <x:mergeCell ref="B25:H25"/>
    <x:mergeCell ref="B26:H26"/>
    <x:mergeCell ref="B28:H28"/>
  </x:mergeCells>
  <x:pageMargins left="0.7" right="0.7" top="0.75" bottom="0.75" header="0.3" footer="0.3"/>
  <x:tableParts count="1">
    <x:tablePart xmlns:r="http://schemas.openxmlformats.org/officeDocument/2006/relationships" r:id="R8808f40bb6e64d3d"/>
  </x:tableParts>
</x:worksheet>
</file>

<file path=xl/worksheets/sheet2.xml><?xml version="1.0" encoding="utf-8"?>
<x:worksheet xmlns:x="http://schemas.openxmlformats.org/spreadsheetml/2006/main">
  <x:sheetPr>
    <x:tabColor rgb="FF273F6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" hidden="0" customWidth="1"/>
    <x:col min="2" max="2" width="31" hidden="0" customWidth="1"/>
    <x:col min="3" max="3" width="27" hidden="0" customWidth="1"/>
    <x:col min="4" max="4" width="16" hidden="0" customWidth="1"/>
    <x:col min="5" max="5" width="16" hidden="0" customWidth="1"/>
    <x:col min="7" max="7" width="16" hidden="0" customWidth="1"/>
    <x:col min="8" max="8" width="16" hidden="0" customWidth="1"/>
    <x:col min="18" max="18" width="16" hidden="0" customWidth="1"/>
    <x:col min="6" max="6" width="26" hidden="0" customWidth="1"/>
    <x:col min="9" max="9" width="29" hidden="0" customWidth="1"/>
    <x:col min="10" max="10" width="24" hidden="0" customWidth="1"/>
    <x:col min="11" max="11" width="27" hidden="0" customWidth="1"/>
    <x:col min="12" max="12" width="45" hidden="0" customWidth="1"/>
    <x:col min="13" max="13" width="45" hidden="0" customWidth="1"/>
    <x:col min="14" max="14" width="45" hidden="0" customWidth="1"/>
    <x:col min="15" max="15" width="65" hidden="0" customWidth="1"/>
    <x:col min="16" max="16" width="55" hidden="0" customWidth="1"/>
    <x:col min="17" max="17" width="55" hidden="0" customWidth="1"/>
    <x:col min="19" max="19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" t="str">
        <x:v>Воркшопы: ближайшие окна и профильные серии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2" t="str">
        <x:v>Обновлено 19.10.2026. Открытые/ожидаемые CFP перепроверены; закрытые циклы сохранены. R — дата проверки источника; S — дни от 19.10.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0" customHeight="1">
      <x:c r="A5" s="21" t="str">
        <x:v>ID</x:v>
      </x:c>
      <x:c r="B5" s="21" t="str">
        <x:v>Площадка / трек</x:v>
      </x:c>
      <x:c r="C5" s="21" t="str">
        <x:v>Статус на 19.10.2026</x:v>
      </x:c>
      <x:c r="D5" s="21" t="str">
        <x:v>Статья: дедлайн</x:v>
      </x:c>
      <x:c r="E5" s="21" t="str">
        <x:v>Abstract / регистрация</x:v>
      </x:c>
      <x:c r="F5" s="21" t="str">
        <x:v>Время и часовой пояс</x:v>
      </x:c>
      <x:c r="G5" s="21" t="str">
        <x:v>Notification</x:v>
      </x:c>
      <x:c r="H5" s="21" t="str">
        <x:v>Camera-ready</x:v>
      </x:c>
      <x:c r="I5" s="21" t="str">
        <x:v>Мероприятие: даты / год</x:v>
      </x:c>
      <x:c r="J5" s="21" t="str">
        <x:v>Место</x:v>
      </x:c>
      <x:c r="K5" s="21" t="str">
        <x:v>Приоритет</x:v>
      </x:c>
      <x:c r="L5" s="21" t="str">
        <x:v>Связь с темой</x:v>
      </x:c>
      <x:c r="M5" s="21" t="str">
        <x:v>Формат / публикация</x:v>
      </x:c>
      <x:c r="N5" s="21" t="str">
        <x:v>Что подавать</x:v>
      </x:c>
      <x:c r="O5" s="21" t="str">
        <x:v>Ограничения / надёжность дат</x:v>
      </x:c>
      <x:c r="P5" s="21" t="str">
        <x:v>Официальный CFP</x:v>
      </x:c>
      <x:c r="Q5" s="21" t="str">
        <x:v>Дополнительный источник</x:v>
      </x:c>
      <x:c r="R5" s="21" t="str">
        <x:v>Проверено</x:v>
      </x:c>
      <x:c r="S5" s="21" t="str">
        <x:v>До даты D, дней от 19.10.2026</x:v>
      </x:c>
    </x:row>
    <x:row r="6" ht="96" customHeight="1">
      <x:c r="A6" s="10" t="str">
        <x:v>W01</x:v>
      </x:c>
      <x:c r="B6" s="10" t="str">
        <x:v>EAIM 2027 · AAAI</x:v>
      </x:c>
      <x:c r="C6" s="10" t="str">
        <x:v>Будущий; даты расходятся</x:v>
      </x:c>
      <x:c r="D6" s="11" t="n">
        <x:v>46332</x:v>
      </x:c>
      <x:c r="E6" s="11"/>
      <x:c r="F6" s="10" t="str">
        <x:v>23:59 AoE (UTC−12)</x:v>
      </x:c>
      <x:c r="G6" s="11" t="n">
        <x:v>46358</x:v>
      </x:c>
      <x:c r="H6" s="11"/>
      <x:c r="I6" s="10" t="str">
        <x:v>22–23.02.2027; точный день TBD</x:v>
      </x:c>
      <x:c r="J6" s="10" t="str">
        <x:v>Монреаль, Канада</x:v>
      </x:c>
      <x:c r="K6" s="10" t="str">
        <x:v>B · условно</x:v>
      </x:c>
      <x:c r="L6" s="10" t="str">
        <x:v>Music RecSys / Yambda</x:v>
      </x:c>
      <x:c r="M6" s="10" t="str">
        <x:v>8–11 стр. + references; PMLR; double-blind. Публикация в PMLR пока не подтверждена.</x:v>
      </x:c>
      <x:c r="N6" s="10" t="str">
        <x:v>Экономное обновление профиля музыкальных предпочтений.</x:v>
      </x:c>
      <x:c r="O6" s="10" t="str">
        <x:v>Сайт CFP: 6 ноября; список AAAI: 4 ноября. Рабочая цель — 4 ноября до уточнения. Camera-ready: январь 2027, день TBD. Тематика творчества и human agency: обосновать соответствие. Очное участие.</x:v>
      </x:c>
      <x:c r="P6" s="16" t="str">
        <x:f>IFERROR(HYPERLINK("https://amaai-lab.github.io/EAIM2027/","https://amaai-lab.github.io/EAIM2027/"),"https://amaai-lab.github.io/EAIM2027/")</x:f>
        <x:v>https://amaai-lab.github.io/EAIM2027/</x:v>
      </x:c>
      <x:c r="Q6" s="16" t="str">
        <x:f>IFERROR(HYPERLINK("https://aaai.org/conference/aaai/aaai-27/aaai-27-workshop-program-list/","https://aaai.org/conference/aaai/aaai-27/aaai-27-workshop-program-list/"),"https://aaai.org/conference/aaai/aaai-27/aaai-27-workshop-program-list/")</x:f>
        <x:v>https://aaai.org/conference/aaai/aaai-27/aaai-27-workshop-program-list/</x:v>
      </x:c>
      <x:c r="R6" s="11" t="n">
        <x:v>46314</x:v>
      </x:c>
      <x:c r="S6" s="12" t="n">
        <x:f>IF(D6="","",D6-'Начать здесь'!$B$3)</x:f>
        <x:v>18</x:v>
      </x:c>
    </x:row>
    <x:row r="7" ht="96" customHeight="1">
      <x:c r="A7" s="13" t="str">
        <x:v>W02</x:v>
      </x:c>
      <x:c r="B7" s="13" t="str">
        <x:v>WSDM 2027 · будущие воркшопы</x:v>
      </x:c>
      <x:c r="C7" s="13" t="str">
        <x:v>CFP появляются; подбор открыт</x:v>
      </x:c>
      <x:c r="D7" s="14" t="n">
        <x:v>46356</x:v>
      </x:c>
      <x:c r="E7" s="14"/>
      <x:c r="F7" s="13" t="str">
        <x:v>23:59 AoE (UTC−12)</x:v>
      </x:c>
      <x:c r="G7" s="14" t="n">
        <x:v>46374</x:v>
      </x:c>
      <x:c r="H7" s="14"/>
      <x:c r="I7" s="13" t="str">
        <x:v>19.02.2027</x:v>
      </x:c>
      <x:c r="J7" s="13" t="str">
        <x:v>Гонконг</x:v>
      </x:c>
      <x:c r="K7" s="13" t="str">
        <x:v>A · следить</x:v>
      </x:c>
      <x:c r="L7" s="13" t="str">
        <x:v>RecSys / scalable personalization</x:v>
      </x:c>
      <x:c r="M7" s="13" t="str">
        <x:v>Формат определит выбранный воркшоп; companion ACM, если организаторы не выберут иной вариант.</x:v>
      </x:c>
      <x:c r="N7" s="13" t="str">
        <x:v>Искать CFP по efficiency, sequential recommendation, user modeling.</x:v>
      </x:c>
      <x:c r="O7" s="13" t="str">
        <x:v>Проверено 19.10: опубликован LLM4ECommerce (30.11), но он требует LLM/e-commerce вклада и слабо подходит текущей теме. Полного списка на проверенных страницах нет. Общий ориентир сайтов/CFP — 25.10. Дата 30.11 — верхняя граница, конкретный workshop может назначить раньше; notification тоже не позднее 18.12. Очная презентация.</x:v>
      </x:c>
      <x:c r="P7" s="17" t="str">
        <x:f>IFERROR(HYPERLINK("https://www.wsdm-conference.org/2027/cfworkshops.html","https://www.wsdm-conference.org/2027/cfworkshops.html"),"https://www.wsdm-conference.org/2027/cfworkshops.html")</x:f>
        <x:v>https://www.wsdm-conference.org/2027/cfworkshops.html</x:v>
      </x:c>
      <x:c r="Q7" s="17" t="str">
        <x:f>IFERROR(HYPERLINK("https://llm4ecommerce.github.io/","https://llm4ecommerce.github.io/"),"https://llm4ecommerce.github.io/")</x:f>
        <x:v>https://llm4ecommerce.github.io/</x:v>
      </x:c>
      <x:c r="R7" s="14" t="n">
        <x:v>46314</x:v>
      </x:c>
      <x:c r="S7" s="15" t="n">
        <x:f>IF(D7="","",D7-'Начать здесь'!$B$3)</x:f>
        <x:v>42</x:v>
      </x:c>
    </x:row>
    <x:row r="8" ht="96" customHeight="1">
      <x:c r="A8" s="10" t="str">
        <x:v>W03</x:v>
      </x:c>
      <x:c r="B8" s="10" t="str">
        <x:v>ECIR 2027 · будущие воркшопы</x:v>
      </x:c>
      <x:c r="C8" s="10" t="str">
        <x:v>Ждать авторских CFP</x:v>
      </x:c>
      <x:c r="D8" s="11"/>
      <x:c r="E8" s="11"/>
      <x:c r="F8" s="10" t="str">
        <x:v>Не указан</x:v>
      </x:c>
      <x:c r="G8" s="11"/>
      <x:c r="H8" s="11"/>
      <x:c r="I8" s="10" t="str">
        <x:v>21–25.03.2027; день воркшопа TBD</x:v>
      </x:c>
      <x:c r="J8" s="10" t="str">
        <x:v>Саутгемптон, Великобритания</x:v>
      </x:c>
      <x:c r="K8" s="10" t="str">
        <x:v>A · следить</x:v>
      </x:c>
      <x:c r="L8" s="10" t="str">
        <x:v>Efficient information access / evaluation</x:v>
      </x:c>
      <x:c r="M8" s="10" t="str">
        <x:v>Формат и proceedings зависят от отдельного CFP.</x:v>
      </x:c>
      <x:c r="N8" s="10" t="str">
        <x:v>Искать темы эффективности и оценки динамических представлений.</x:v>
      </x:c>
      <x:c r="O8" s="10" t="str">
        <x:v>19.10 — уведомление ОРГАНИЗАТОРОВ о принятии воркшопов. Это не дедлайн авторских статей. На странице Programme и в workshop call на 19.10 перечень конкретных CFP и сроки авторов не найдены.</x:v>
      </x:c>
      <x:c r="P8" s="16" t="str">
        <x:f>IFERROR(HYPERLINK("https://www.ecir2027.co.uk/call-for-workshops","https://www.ecir2027.co.uk/call-for-workshops"),"https://www.ecir2027.co.uk/call-for-workshops")</x:f>
        <x:v>https://www.ecir2027.co.uk/call-for-workshops</x:v>
      </x:c>
      <x:c r="Q8" s="16" t="str">
        <x:f>IFERROR(HYPERLINK("https://www.ecir2027.co.uk/programme","https://www.ecir2027.co.uk/programme"),"https://www.ecir2027.co.uk/programme")</x:f>
        <x:v>https://www.ecir2027.co.uk/programme</x:v>
      </x:c>
      <x:c r="R8" s="11" t="n">
        <x:v>46314</x:v>
      </x:c>
      <x:c r="S8" s="12" t="str">
        <x:f>IF(D8="","",D8-'Начать здесь'!$B$3)</x:f>
      </x:c>
    </x:row>
    <x:row r="9" ht="96" customHeight="1">
      <x:c r="A9" s="13" t="str">
        <x:v>W04</x:v>
      </x:c>
      <x:c r="B9" s="13" t="str">
        <x:v>EMC² 2027 · AAAI</x:v>
      </x:c>
      <x:c r="C9" s="13" t="str">
        <x:v>Следующий год: январь</x:v>
      </x:c>
      <x:c r="D9" s="14" t="n">
        <x:v>46395</x:v>
      </x:c>
      <x:c r="E9" s="14"/>
      <x:c r="F9" s="13" t="str">
        <x:v>23:59 PST (UTC−8)</x:v>
      </x:c>
      <x:c r="G9" s="14" t="n">
        <x:v>46416</x:v>
      </x:c>
      <x:c r="H9" s="14"/>
      <x:c r="I9" s="13" t="str">
        <x:v>22–23.02.2027; точный день TBD</x:v>
      </x:c>
      <x:c r="J9" s="13" t="str">
        <x:v>Монреаль, Канада</x:v>
      </x:c>
      <x:c r="K9" s="13" t="str">
        <x:v>A · запас времени</x:v>
      </x:c>
      <x:c r="L9" s="13" t="str">
        <x:v>Inference / memory / compute efficiency</x:v>
      </x:c>
      <x:c r="M9" s="13" t="str">
        <x:v>Сайт отсылает к AAAI format; список AAAI описывает 6 стр., IEEE, single-blind — требования расходятся.</x:v>
      </x:c>
      <x:c r="N9" s="13" t="str">
        <x:v>Quality–latency–memory frontier; полная цена refresh и кэша.</x:v>
      </x:c>
      <x:c r="O9" s="13" t="str">
        <x:v>Это дедлайн 2027, не 2026. Общий срок AAAI 20 ноября не переносить сюда. Формат уточнить у организаторов до вёрстки.</x:v>
      </x:c>
      <x:c r="P9" s="17" t="str">
        <x:f>IFERROR(HYPERLINK("https://www.emc2-ai.org/aaai-27","https://www.emc2-ai.org/aaai-27"),"https://www.emc2-ai.org/aaai-27")</x:f>
        <x:v>https://www.emc2-ai.org/aaai-27</x:v>
      </x:c>
      <x:c r="Q9" s="17" t="str">
        <x:f>IFERROR(HYPERLINK("https://www.emc2-ai.org/submission","https://www.emc2-ai.org/submission"),"https://www.emc2-ai.org/submission")</x:f>
        <x:v>https://www.emc2-ai.org/submission</x:v>
      </x:c>
      <x:c r="R9" s="14" t="n">
        <x:v>46314</x:v>
      </x:c>
      <x:c r="S9" s="15" t="n">
        <x:f>IF(D9="","",D9-'Начать здесь'!$B$3)</x:f>
        <x:v>81</x:v>
      </x:c>
    </x:row>
    <x:row r="10" ht="96" customHeight="1">
      <x:c r="A10" s="10" t="str">
        <x:v>W05</x:v>
      </x:c>
      <x:c r="B10" s="10" t="str">
        <x:v>WWW 2027 · будущие воркшопы</x:v>
      </x:c>
      <x:c r="C10" s="10" t="str">
        <x:v>Следующий год; ждать CFP</x:v>
      </x:c>
      <x:c r="D10" s="11" t="n">
        <x:v>46391</x:v>
      </x:c>
      <x:c r="E10" s="11"/>
      <x:c r="F10" s="10" t="str">
        <x:v>23:59 AoE (UTC−12)</x:v>
      </x:c>
      <x:c r="G10" s="11" t="n">
        <x:v>46419</x:v>
      </x:c>
      <x:c r="H10" s="11" t="n">
        <x:v>46434</x:v>
      </x:c>
      <x:c r="I10" s="10" t="str">
        <x:v>10–14.05.2027; день воркшопа TBD</x:v>
      </x:c>
      <x:c r="J10" s="10" t="str">
        <x:v>Дублин, Ирландия</x:v>
      </x:c>
      <x:c r="K10" s="10" t="str">
        <x:v>A · следить</x:v>
      </x:c>
      <x:c r="L10" s="10" t="str">
        <x:v>Recommendation / scalable Web systems</x:v>
      </x:c>
      <x:c r="M10" s="10" t="str">
        <x:v>Пока опубликован общий календарь; формат статей определит выбранный CFP.</x:v>
      </x:c>
      <x:c r="N10" s="10" t="str">
        <x:v>Подобрать конкретный воркшоп после объявления программы.</x:v>
      </x:c>
      <x:c r="O10" s="10" t="str">
        <x:v>4 января — общий срок для workshop papers, не заявок организаторов. Отдельный CFP и правила публикации перепроверить.</x:v>
      </x:c>
      <x:c r="P10" s="16" t="str">
        <x:f>IFERROR(HYPERLINK("https://www2027.thewebconf.org/workshops/","https://www2027.thewebconf.org/workshops/"),"https://www2027.thewebconf.org/workshops/")</x:f>
        <x:v>https://www2027.thewebconf.org/workshops/</x:v>
      </x:c>
      <x:c r="Q10" s="16" t="str"/>
      <x:c r="R10" s="11" t="n">
        <x:v>46314</x:v>
      </x:c>
      <x:c r="S10" s="12" t="n">
        <x:f>IF(D10="","",D10-'Начать здесь'!$B$3)</x:f>
        <x:v>77</x:v>
      </x:c>
    </x:row>
    <x:row r="11" ht="96" customHeight="1">
      <x:c r="A11" s="13" t="str">
        <x:v>W06</x:v>
      </x:c>
      <x:c r="B11" s="13" t="str">
        <x:v>OARS 2026 · RecSys</x:v>
      </x:c>
      <x:c r="C11" s="13" t="str">
        <x:v>Закрыто</x:v>
      </x:c>
      <x:c r="D11" s="14" t="n">
        <x:v>46223</x:v>
      </x:c>
      <x:c r="E11" s="14"/>
      <x:c r="F11" s="13" t="str">
        <x:v>Не указан в CFP</x:v>
      </x:c>
      <x:c r="G11" s="14" t="n">
        <x:v>46244</x:v>
      </x:c>
      <x:c r="H11" s="14" t="n">
        <x:v>46262</x:v>
      </x:c>
      <x:c r="I11" s="13" t="str">
        <x:v>28.09.2026</x:v>
      </x:c>
      <x:c r="J11" s="13" t="str">
        <x:v>Миннеаполис, США</x:v>
      </x:c>
      <x:c r="K11" s="13" t="str">
        <x:v>A · следующий цикл</x:v>
      </x:c>
      <x:c r="L11" s="13" t="str">
        <x:v>Свежесть user state; online/adaptive RecSys</x:v>
      </x:c>
      <x:c r="M11" s="13" t="str">
        <x:v>ACM 2 колонки, English, double-blind; лимит страниц в HTML CFP не указан.</x:v>
      </x:c>
      <x:c r="N11" s="13" t="str">
        <x:v>Offline replay политик refresh с динамической историей и фиксированными весами.</x:v>
      </x:c>
      <x:c r="O11" s="13" t="str">
        <x:v>Не называть offline replay промышленным online A/B-тестом. Нужна новизна и эксперименты; очно. Издание 2027 не подтверждено.</x:v>
      </x:c>
      <x:c r="P11" s="17" t="str">
        <x:f>IFERROR(HYPERLINK("https://oars-workshop.github.io/index.html","https://oars-workshop.github.io/index.html"),"https://oars-workshop.github.io/index.html")</x:f>
        <x:v>https://oars-workshop.github.io/index.html</x:v>
      </x:c>
      <x:c r="Q11" s="17" t="str">
        <x:f>IFERROR(HYPERLINK("https://recsys.acm.org/recsys26/workshops/","https://recsys.acm.org/recsys26/workshops/"),"https://recsys.acm.org/recsys26/workshops/")</x:f>
        <x:v>https://recsys.acm.org/recsys26/workshops/</x:v>
      </x:c>
      <x:c r="R11" s="14" t="n">
        <x:v>46309</x:v>
      </x:c>
      <x:c r="S11" s="15" t="n">
        <x:f>IF(D11="","",D11-'Начать здесь'!$B$3)</x:f>
        <x:v>-91</x:v>
      </x:c>
    </x:row>
    <x:row r="12" ht="96" customHeight="1">
      <x:c r="A12" s="10" t="str">
        <x:v>W07</x:v>
      </x:c>
      <x:c r="B12" s="10" t="str">
        <x:v>MuRS 2026 · RecSys</x:v>
      </x:c>
      <x:c r="C12" s="10" t="str">
        <x:v>Закрыто</x:v>
      </x:c>
      <x:c r="D12" s="11" t="n">
        <x:v>46220</x:v>
      </x:c>
      <x:c r="E12" s="11" t="n">
        <x:v>46217</x:v>
      </x:c>
      <x:c r="F12" s="10" t="str">
        <x:v>Не подтверждён</x:v>
      </x:c>
      <x:c r="G12" s="11"/>
      <x:c r="H12" s="11"/>
      <x:c r="I12" s="10" t="str">
        <x:v>28.09.2026</x:v>
      </x:c>
      <x:c r="J12" s="10" t="str">
        <x:v>Миннеаполис, США</x:v>
      </x:c>
      <x:c r="K12" s="10" t="str">
        <x:v>A · следующий цикл</x:v>
      </x:c>
      <x:c r="L12" s="10" t="str">
        <x:v>Музыкальные рекомендации / Yambda</x:v>
      </x:c>
      <x:c r="M12" s="10" t="str">
        <x:v>Лимит страниц и proceedings не подтверждены на доступной странице.</x:v>
      </x:c>
      <x:c r="N12" s="10" t="str">
        <x:v>Показать trade-off свежести музыкального профиля и стоимости рекомендаций.</x:v>
      </x:c>
      <x:c r="O12" s="10" t="str">
        <x:v>Даты abstract/paper взяты из официального списка RecSys; сайт MuRS подтверждает тему и мероприятие. Дедлайн 2027 не объявлен.</x:v>
      </x:c>
      <x:c r="P12" s="16" t="str">
        <x:f>IFERROR(HYPERLINK("https://sites.google.com/view/murs-2026","https://sites.google.com/view/murs-2026"),"https://sites.google.com/view/murs-2026")</x:f>
        <x:v>https://sites.google.com/view/murs-2026</x:v>
      </x:c>
      <x:c r="Q12" s="16" t="str">
        <x:f>IFERROR(HYPERLINK("https://recsys.acm.org/recsys26/workshops/","https://recsys.acm.org/recsys26/workshops/"),"https://recsys.acm.org/recsys26/workshops/")</x:f>
        <x:v>https://recsys.acm.org/recsys26/workshops/</x:v>
      </x:c>
      <x:c r="R12" s="11" t="n">
        <x:v>46309</x:v>
      </x:c>
      <x:c r="S12" s="12" t="n">
        <x:f>IF(D12="","",D12-'Начать здесь'!$B$3)</x:f>
        <x:v>-94</x:v>
      </x:c>
    </x:row>
    <x:row r="13" ht="96" customHeight="1">
      <x:c r="A13" s="13" t="str">
        <x:v>W08</x:v>
      </x:c>
      <x:c r="B13" s="13" t="str">
        <x:v>RecTemp 2026 · RecSys</x:v>
      </x:c>
      <x:c r="C13" s="13" t="str">
        <x:v>Закрыто</x:v>
      </x:c>
      <x:c r="D13" s="14" t="n">
        <x:v>46230</x:v>
      </x:c>
      <x:c r="E13" s="14"/>
      <x:c r="F13" s="13" t="str">
        <x:v>Не указан в CFP</x:v>
      </x:c>
      <x:c r="G13" s="14" t="n">
        <x:v>46244</x:v>
      </x:c>
      <x:c r="H13" s="14" t="n">
        <x:v>46262</x:v>
      </x:c>
      <x:c r="I13" s="13" t="str">
        <x:v>28.09.2026</x:v>
      </x:c>
      <x:c r="J13" s="13" t="str">
        <x:v>Миннеаполис, США</x:v>
      </x:c>
      <x:c r="K13" s="13" t="str">
        <x:v>A · следующий цикл</x:v>
      </x:c>
      <x:c r="L13" s="13" t="str">
        <x:v>Temporal / sequential recommendation</x:v>
      </x:c>
      <x:c r="M13" s="13" t="str">
        <x:v>Long 6–8, short 4, position/demo 2 стр. + refs; ACM; single-blind; без официальных proceedings.</x:v>
      </x:c>
      <x:c r="N13" s="13" t="str">
        <x:v>Возраст кэша, короткая/длинная история, дрейф предпочтений.</x:v>
      </x:c>
      <x:c r="O13" s="13" t="str">
        <x:v>Сайт воркшопа: 27 июля; общий список RecSys сохраняет 20 июля. Использована поздняя дата из собственного CFP. Издание 2027 пока не подтверждено.</x:v>
      </x:c>
      <x:c r="P13" s="17" t="str">
        <x:f>IFERROR(HYPERLINK("https://rectemp.com/","https://rectemp.com/"),"https://rectemp.com/")</x:f>
        <x:v>https://rectemp.com/</x:v>
      </x:c>
      <x:c r="Q13" s="17" t="str">
        <x:f>IFERROR(HYPERLINK("https://recsys.acm.org/recsys26/workshops/","https://recsys.acm.org/recsys26/workshops/"),"https://recsys.acm.org/recsys26/workshops/")</x:f>
        <x:v>https://recsys.acm.org/recsys26/workshops/</x:v>
      </x:c>
      <x:c r="R13" s="14" t="n">
        <x:v>46309</x:v>
      </x:c>
      <x:c r="S13" s="15" t="n">
        <x:f>IF(D13="","",D13-'Начать здесь'!$B$3)</x:f>
        <x:v>-84</x:v>
      </x:c>
    </x:row>
    <x:row r="14" ht="96" customHeight="1">
      <x:c r="A14" s="10" t="str">
        <x:v>W09</x:v>
      </x:c>
      <x:c r="B14" s="10" t="str">
        <x:v>FRAME 2026 · RecSys</x:v>
      </x:c>
      <x:c r="C14" s="10" t="str">
        <x:v>Закрыто</x:v>
      </x:c>
      <x:c r="D14" s="11" t="n">
        <x:v>46230</x:v>
      </x:c>
      <x:c r="E14" s="11"/>
      <x:c r="F14" s="10" t="str">
        <x:v>Не указан в CFP</x:v>
      </x:c>
      <x:c r="G14" s="11" t="n">
        <x:v>46248</x:v>
      </x:c>
      <x:c r="H14" s="11"/>
      <x:c r="I14" s="10" t="str">
        <x:v>28.09.2026</x:v>
      </x:c>
      <x:c r="J14" s="10" t="str">
        <x:v>Миннеаполис, США</x:v>
      </x:c>
      <x:c r="K14" s="10" t="str">
        <x:v>A · следующий цикл</x:v>
      </x:c>
      <x:c r="L14" s="10" t="str">
        <x:v>Методология честной оценки RecSys</x:v>
      </x:c>
      <x:c r="M14" s="10" t="str">
        <x:v>CEUR, 1 колонка, до 8 стр. + refs; methodology track single-blind; research track — 2 этапа.</x:v>
      </x:c>
      <x:c r="N14" s="10" t="str">
        <x:v>Протокол replay без утечки будущего; accounting всех расходов и сравнимые бюджеты.</x:v>
      </x:c>
      <x:c r="O14" s="10" t="str">
        <x:v>Продлено с 20 июля. В research track сначала версия без результатов, затем experimental version; не обычная одноэтапная подача. Издание 2027 не подтверждено.</x:v>
      </x:c>
      <x:c r="P14" s="16" t="str">
        <x:f>IFERROR(HYPERLINK("https://remaplab.github.io/frame2026/cfp/","https://remaplab.github.io/frame2026/cfp/"),"https://remaplab.github.io/frame2026/cfp/")</x:f>
        <x:v>https://remaplab.github.io/frame2026/cfp/</x:v>
      </x:c>
      <x:c r="Q14" s="16" t="str">
        <x:f>IFERROR(HYPERLINK("https://recsys.acm.org/recsys26/workshops/","https://recsys.acm.org/recsys26/workshops/"),"https://recsys.acm.org/recsys26/workshops/")</x:f>
        <x:v>https://recsys.acm.org/recsys26/workshops/</x:v>
      </x:c>
      <x:c r="R14" s="11" t="n">
        <x:v>46309</x:v>
      </x:c>
      <x:c r="S14" s="12" t="n">
        <x:f>IF(D14="","",D14-'Начать здесь'!$B$3)</x:f>
        <x:v>-84</x:v>
      </x:c>
    </x:row>
    <x:row r="15" ht="96" customHeight="1">
      <x:c r="A15" s="13" t="str">
        <x:v>W10</x:v>
      </x:c>
      <x:c r="B15" s="13" t="str">
        <x:v>ReNeuIR 2026 · SIGIR</x:v>
      </x:c>
      <x:c r="C15" s="13" t="str">
        <x:v>Закрыто</x:v>
      </x:c>
      <x:c r="D15" s="14" t="n">
        <x:v>46183</x:v>
      </x:c>
      <x:c r="E15" s="14"/>
      <x:c r="F15" s="13" t="str">
        <x:v>23:59 AoE (UTC−12)</x:v>
      </x:c>
      <x:c r="G15" s="14" t="n">
        <x:v>46197</x:v>
      </x:c>
      <x:c r="H15" s="14"/>
      <x:c r="I15" s="13" t="str">
        <x:v>24.07.2026</x:v>
      </x:c>
      <x:c r="J15" s="13" t="str">
        <x:v>Мельбурн, Австралия</x:v>
      </x:c>
      <x:c r="K15" s="13" t="str">
        <x:v>A · следующий цикл</x:v>
      </x:c>
      <x:c r="L15" s="13" t="str">
        <x:v>Прямой фокус на эффективности neural information access</x:v>
      </x:c>
      <x:c r="M15" s="13" t="str">
        <x:v>Poster ≤6 или article 10–20 стр. + refs; CEUR-ART, 1 колонка; single-blind; CEUR proceedings.</x:v>
      </x:c>
      <x:c r="N15" s="13" t="str">
        <x:v>Цена вычисления user representations; Pareto quality/latency/memory.</x:v>
      </x:c>
      <x:c r="O15" s="13" t="str">
        <x:v>Продлено с 27 мая. Даже poster ожидает некоторый экспериментальный анализ. Camera-ready после мероприятия: TBD. Издание 2027 не подтверждено.</x:v>
      </x:c>
      <x:c r="P15" s="17" t="str">
        <x:f>IFERROR(HYPERLINK("https://reneuir.org/cfp.html","https://reneuir.org/cfp.html"),"https://reneuir.org/cfp.html")</x:f>
        <x:v>https://reneuir.org/cfp.html</x:v>
      </x:c>
      <x:c r="Q15" s="17" t="str"/>
      <x:c r="R15" s="14" t="n">
        <x:v>46309</x:v>
      </x:c>
      <x:c r="S15" s="15" t="n">
        <x:f>IF(D15="","",D15-'Начать здесь'!$B$3)</x:f>
        <x:v>-131</x:v>
      </x:c>
    </x:row>
    <x:row r="16" ht="96" customHeight="1">
      <x:c r="A16" s="10" t="str">
        <x:v>W11</x:v>
      </x:c>
      <x:c r="B16" s="10" t="str">
        <x:v>CARS 2026 · RecSys</x:v>
      </x:c>
      <x:c r="C16" s="10" t="str">
        <x:v>Закрыто</x:v>
      </x:c>
      <x:c r="D16" s="11" t="n">
        <x:v>46223</x:v>
      </x:c>
      <x:c r="E16" s="11"/>
      <x:c r="F16" s="10" t="str">
        <x:v>Не подтверждён</x:v>
      </x:c>
      <x:c r="G16" s="11"/>
      <x:c r="H16" s="11"/>
      <x:c r="I16" s="10" t="str">
        <x:v>28.09.2026</x:v>
      </x:c>
      <x:c r="J16" s="10" t="str">
        <x:v>Миннеаполис, США</x:v>
      </x:c>
      <x:c r="K16" s="10" t="str">
        <x:v>B · следующий цикл</x:v>
      </x:c>
      <x:c r="L16" s="10" t="str">
        <x:v>Dynamic context / short–long preferences</x:v>
      </x:c>
      <x:c r="M16" s="10" t="str">
        <x:v>Формат отдельного CFP 2026 не подтверждён.</x:v>
      </x:c>
      <x:c r="N16" s="10" t="str">
        <x:v>Динамический контекст как причина устаревания профиля.</x:v>
      </x:c>
      <x:c r="O16" s="10" t="str">
        <x:v>Дата статьи из официального списка RecSys; главная страница CARS содержит старые ссылки на CFP. Не переносить формат 2025 на 2026/2027.</x:v>
      </x:c>
      <x:c r="P16" s="16" t="str">
        <x:f>IFERROR(HYPERLINK("https://cars-workshops.com/","https://cars-workshops.com/"),"https://cars-workshops.com/")</x:f>
        <x:v>https://cars-workshops.com/</x:v>
      </x:c>
      <x:c r="Q16" s="16" t="str">
        <x:f>IFERROR(HYPERLINK("https://recsys.acm.org/recsys26/workshops/","https://recsys.acm.org/recsys26/workshops/"),"https://recsys.acm.org/recsys26/workshops/")</x:f>
        <x:v>https://recsys.acm.org/recsys26/workshops/</x:v>
      </x:c>
      <x:c r="R16" s="11" t="n">
        <x:v>46309</x:v>
      </x:c>
      <x:c r="S16" s="12" t="n">
        <x:f>IF(D16="","",D16-'Начать здесь'!$B$3)</x:f>
        <x:v>-91</x:v>
      </x:c>
    </x:row>
    <x:row r="17" ht="96" customHeight="1">
      <x:c r="A17" s="13" t="str">
        <x:v>W12</x:v>
      </x:c>
      <x:c r="B17" s="13" t="str">
        <x:v>HyPeR 2026 · CIKM</x:v>
      </x:c>
      <x:c r="C17" s="13" t="str">
        <x:v>Закрыто</x:v>
      </x:c>
      <x:c r="D17" s="14" t="n">
        <x:v>46272</x:v>
      </x:c>
      <x:c r="E17" s="14"/>
      <x:c r="F17" s="13" t="str">
        <x:v>23:59 AoE (UTC−12)</x:v>
      </x:c>
      <x:c r="G17" s="14" t="n">
        <x:v>46288</x:v>
      </x:c>
      <x:c r="H17" s="14"/>
      <x:c r="I17" s="13" t="str">
        <x:v>08.11.2026</x:v>
      </x:c>
      <x:c r="J17" s="13" t="str">
        <x:v>Рим, Италия</x:v>
      </x:c>
      <x:c r="K17" s="13" t="str">
        <x:v>C · смежное</x:v>
      </x:c>
      <x:c r="L17" s="13" t="str">
        <x:v>Hybrid / symbolic user modeling</x:v>
      </x:c>
      <x:c r="M17" s="13" t="str">
        <x:v>Full ≤12, short/WIP/demo/position ≤6 стр. + refs; CEUR, 1 колонка; single-blind.</x:v>
      </x:c>
      <x:c r="N17" s="13" t="str">
        <x:v>Только при содержательной связи контроллера с symbolic reasoning / гибридной моделью.</x:v>
      </x:c>
      <x:c r="O17" s="13" t="str">
        <x:v>Продлено с 24 августа. Сочетание двух нейросетевых энкодеров само по себе не означает hybrid AI в смысле этого CFP.</x:v>
      </x:c>
      <x:c r="P17" s="17" t="str">
        <x:f>IFERROR(HYPERLINK("https://aisocietylab.github.io/hyper26/","https://aisocietylab.github.io/hyper26/"),"https://aisocietylab.github.io/hyper26/")</x:f>
        <x:v>https://aisocietylab.github.io/hyper26/</x:v>
      </x:c>
      <x:c r="Q17" s="17" t="str"/>
      <x:c r="R17" s="14" t="n">
        <x:v>46309</x:v>
      </x:c>
      <x:c r="S17" s="15" t="n">
        <x:f>IF(D17="","",D17-'Начать здесь'!$B$3)</x:f>
        <x:v>-42</x:v>
      </x:c>
    </x:row>
    <x:row r="18" ht="96" customHeight="1">
      <x:c r="A18" s="10" t="str">
        <x:v>W13</x:v>
      </x:c>
      <x:c r="B18" s="10" t="str">
        <x:v>GRAIL 2026 · CIKM</x:v>
      </x:c>
      <x:c r="C18" s="10" t="str">
        <x:v>Закрыто</x:v>
      </x:c>
      <x:c r="D18" s="11" t="n">
        <x:v>46262</x:v>
      </x:c>
      <x:c r="E18" s="11"/>
      <x:c r="F18" s="10" t="str">
        <x:v>23:59 AoE (UTC−12)</x:v>
      </x:c>
      <x:c r="G18" s="11" t="n">
        <x:v>46288</x:v>
      </x:c>
      <x:c r="H18" s="11" t="n">
        <x:v>46300</x:v>
      </x:c>
      <x:c r="I18" s="10" t="str">
        <x:v>08.11.2026</x:v>
      </x:c>
      <x:c r="J18" s="10" t="str">
        <x:v>Рим, Италия</x:v>
      </x:c>
      <x:c r="K18" s="10" t="str">
        <x:v>C · смежное</x:v>
      </x:c>
      <x:c r="L18" s="10" t="str">
        <x:v>Generative / retrieval-augmented personalization</x:v>
      </x:c>
      <x:c r="M18" s="10" t="str">
        <x:v>Full ≤8, short/WIP ≤4 стр. + refs/appendix; ACM; single-blind; non-archival.</x:v>
      </x:c>
      <x:c r="N18" s="10" t="str">
        <x:v>Только если появится отдельный генеративный или retrieval-augmented компонент.</x:v>
      </x:c>
      <x:c r="O18" s="10" t="str">
        <x:v>Продлено с 24 августа. Текущий ID-based SASRec и кэш не делают работу generative RecSys. Не менять тему ради площадки.</x:v>
      </x:c>
      <x:c r="P18" s="16" t="str">
        <x:f>IFERROR(HYPERLINK("https://grail2026.github.io/","https://grail2026.github.io/"),"https://grail2026.github.io/")</x:f>
        <x:v>https://grail2026.github.io/</x:v>
      </x:c>
      <x:c r="Q18" s="16" t="str"/>
      <x:c r="R18" s="11" t="n">
        <x:v>46309</x:v>
      </x:c>
      <x:c r="S18" s="12" t="n">
        <x:f>IF(D18="","",D18-'Начать здесь'!$B$3)</x:f>
        <x:v>-52</x:v>
      </x:c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</x:sheetData>
  <x:conditionalFormatting sqref="C6:C18">
    <x:cfRule type="containsText" dxfId="0" priority="1" operator="containsText" text="Закрыто"/>
    <x:cfRule type="containsText" dxfId="1" priority="2" operator="containsText" text="Будущий"/>
    <x:cfRule type="containsText" dxfId="2" priority="3" operator="containsText" text="Ждать"/>
  </x:conditionalFormatting>
  <x:pageMargins left="0.7" right="0.7" top="0.75" bottom="0.75" header="0.3" footer="0.3"/>
  <x:tableParts count="1">
    <x:tablePart xmlns:r="http://schemas.openxmlformats.org/officeDocument/2006/relationships" r:id="Rbc458db4f7e44ffb"/>
  </x:tableParts>
</x:worksheet>
</file>

<file path=xl/worksheets/sheet3.xml><?xml version="1.0" encoding="utf-8"?>
<x:worksheet xmlns:x="http://schemas.openxmlformats.org/spreadsheetml/2006/main">
  <x:sheetPr>
    <x:tabColor rgb="FF273F6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" hidden="0" customWidth="1"/>
    <x:col min="2" max="2" width="31" hidden="0" customWidth="1"/>
    <x:col min="3" max="3" width="27" hidden="0" customWidth="1"/>
    <x:col min="4" max="4" width="16" hidden="0" customWidth="1"/>
    <x:col min="5" max="5" width="16" hidden="0" customWidth="1"/>
    <x:col min="7" max="7" width="16" hidden="0" customWidth="1"/>
    <x:col min="8" max="8" width="16" hidden="0" customWidth="1"/>
    <x:col min="18" max="18" width="16" hidden="0" customWidth="1"/>
    <x:col min="6" max="6" width="26" hidden="0" customWidth="1"/>
    <x:col min="9" max="9" width="29" hidden="0" customWidth="1"/>
    <x:col min="10" max="10" width="24" hidden="0" customWidth="1"/>
    <x:col min="11" max="11" width="27" hidden="0" customWidth="1"/>
    <x:col min="12" max="12" width="45" hidden="0" customWidth="1"/>
    <x:col min="13" max="13" width="45" hidden="0" customWidth="1"/>
    <x:col min="14" max="14" width="45" hidden="0" customWidth="1"/>
    <x:col min="15" max="15" width="65" hidden="0" customWidth="1"/>
    <x:col min="16" max="16" width="55" hidden="0" customWidth="1"/>
    <x:col min="17" max="17" width="55" hidden="0" customWidth="1"/>
    <x:col min="19" max="19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" t="str">
        <x:v>Конференции: short, resource и research tracks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2" t="str">
        <x:v>Обновлено 19.10.2026. Открытые/ожидаемые CFP перепроверены; закрытые циклы сохранены. R — дата проверки источника; S — дни от 19.10.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0" customHeight="1">
      <x:c r="A5" s="21" t="str">
        <x:v>ID</x:v>
      </x:c>
      <x:c r="B5" s="21" t="str">
        <x:v>Площадка / трек</x:v>
      </x:c>
      <x:c r="C5" s="21" t="str">
        <x:v>Статус на 19.10.2026</x:v>
      </x:c>
      <x:c r="D5" s="21" t="str">
        <x:v>Статья: дедлайн</x:v>
      </x:c>
      <x:c r="E5" s="21" t="str">
        <x:v>Abstract / регистрация</x:v>
      </x:c>
      <x:c r="F5" s="21" t="str">
        <x:v>Время и часовой пояс</x:v>
      </x:c>
      <x:c r="G5" s="21" t="str">
        <x:v>Notification</x:v>
      </x:c>
      <x:c r="H5" s="21" t="str">
        <x:v>Camera-ready</x:v>
      </x:c>
      <x:c r="I5" s="21" t="str">
        <x:v>Мероприятие: даты / год</x:v>
      </x:c>
      <x:c r="J5" s="21" t="str">
        <x:v>Место</x:v>
      </x:c>
      <x:c r="K5" s="21" t="str">
        <x:v>Приоритет</x:v>
      </x:c>
      <x:c r="L5" s="21" t="str">
        <x:v>Связь с темой</x:v>
      </x:c>
      <x:c r="M5" s="21" t="str">
        <x:v>Формат / публикация</x:v>
      </x:c>
      <x:c r="N5" s="21" t="str">
        <x:v>Что подавать</x:v>
      </x:c>
      <x:c r="O5" s="21" t="str">
        <x:v>Ограничения / надёжность дат</x:v>
      </x:c>
      <x:c r="P5" s="21" t="str">
        <x:v>Официальный CFP</x:v>
      </x:c>
      <x:c r="Q5" s="21" t="str">
        <x:v>Дополнительный источник</x:v>
      </x:c>
      <x:c r="R5" s="21" t="str">
        <x:v>Проверено</x:v>
      </x:c>
      <x:c r="S5" s="21" t="str">
        <x:v>До даты D, дней от 19.10.2026</x:v>
      </x:c>
    </x:row>
    <x:row r="6" ht="96" customHeight="1">
      <x:c r="A6" s="10" t="str">
        <x:v>C01</x:v>
      </x:c>
      <x:c r="B6" s="10" t="str">
        <x:v>WSDM 2027 · Short Papers</x:v>
      </x:c>
      <x:c r="C6" s="10" t="str">
        <x:v>Будущий</x:v>
      </x:c>
      <x:c r="D6" s="11" t="n">
        <x:v>46343</x:v>
      </x:c>
      <x:c r="E6" s="11"/>
      <x:c r="F6" s="10" t="str">
        <x:v>23:59 AoE (UTC−12)</x:v>
      </x:c>
      <x:c r="G6" s="11" t="n">
        <x:v>46374</x:v>
      </x:c>
      <x:c r="H6" s="11"/>
      <x:c r="I6" s="10" t="str">
        <x:v>15–19.02.2027</x:v>
      </x:c>
      <x:c r="J6" s="10" t="str">
        <x:v>Гонконг</x:v>
      </x:c>
      <x:c r="K6" s="10" t="str">
        <x:v>A · при первых результатах</x:v>
      </x:c>
      <x:c r="L6" s="10" t="str">
        <x:v>Scalable / sequential recommendation</x:v>
      </x:c>
      <x:c r="M6" s="10" t="str">
        <x:v>≤4 стр. + references и ethics; ACM sigconf, anonymous; ACM DL.</x:v>
      </x:c>
      <x:c r="N6" s="10" t="str">
        <x:v>Один законченный результат: когда refresh оправдывает стоимость.</x:v>
      </x:c>
      <x:c r="O6" s="10" t="str">
        <x:v>Не воркшоп. Допускаются предварительные, но эмпирически проверенные идеи. Abstract-дедлайн отдельно не указан; camera-ready TBD; очно.</x:v>
      </x:c>
      <x:c r="P6" s="16" t="str">
        <x:f>IFERROR(HYPERLINK("https://www.wsdm-conference.org/2027/cfsp.html","https://www.wsdm-conference.org/2027/cfsp.html"),"https://www.wsdm-conference.org/2027/cfsp.html")</x:f>
        <x:v>https://www.wsdm-conference.org/2027/cfsp.html</x:v>
      </x:c>
      <x:c r="Q6" s="16" t="str"/>
      <x:c r="R6" s="11" t="n">
        <x:v>46314</x:v>
      </x:c>
      <x:c r="S6" s="12" t="n">
        <x:f>IF(D6="","",D6-'Начать здесь'!$B$3)</x:f>
        <x:v>29</x:v>
      </x:c>
    </x:row>
    <x:row r="7" ht="96" customHeight="1">
      <x:c r="A7" s="13" t="str">
        <x:v>C02</x:v>
      </x:c>
      <x:c r="B7" s="13" t="str">
        <x:v>WWW 2027 · Short Papers</x:v>
      </x:c>
      <x:c r="C7" s="13" t="str">
        <x:v>Будущий</x:v>
      </x:c>
      <x:c r="D7" s="14" t="n">
        <x:v>46342</x:v>
      </x:c>
      <x:c r="E7" s="14" t="n">
        <x:v>46335</x:v>
      </x:c>
      <x:c r="F7" s="13" t="str">
        <x:v>23:59 AoE (UTC−12)</x:v>
      </x:c>
      <x:c r="G7" s="14" t="n">
        <x:v>46391</x:v>
      </x:c>
      <x:c r="H7" s="14" t="n">
        <x:v>46418</x:v>
      </x:c>
      <x:c r="I7" s="13" t="str">
        <x:v>10–14.05.2027</x:v>
      </x:c>
      <x:c r="J7" s="13" t="str">
        <x:v>Дублин, Ирландия</x:v>
      </x:c>
      <x:c r="K7" s="13" t="str">
        <x:v>B · при первых результатах</x:v>
      </x:c>
      <x:c r="L7" s="13" t="str">
        <x:v>Personalized Web recommendation</x:v>
      </x:c>
      <x:c r="M7" s="13" t="str">
        <x:v>4 стр. ВКЛЮЧАЯ references и appendix; ACM, double-blind.</x:v>
      </x:c>
      <x:c r="N7" s="13" t="str">
        <x:v>Компактное исследование freshness–cost trade-off в Web-рекомендациях.</x:v>
      </x:c>
      <x:c r="O7" s="13" t="str">
        <x:v>Abstract обязателен. Нужна явная научная связь с Web; само использование Web-датасета недостаточно. Не воркшоп.</x:v>
      </x:c>
      <x:c r="P7" s="17" t="str">
        <x:f>IFERROR(HYPERLINK("https://www2027.thewebconf.org/research-track-papers/","https://www2027.thewebconf.org/research-track-papers/"),"https://www2027.thewebconf.org/research-track-papers/")</x:f>
        <x:v>https://www2027.thewebconf.org/research-track-papers/</x:v>
      </x:c>
      <x:c r="Q7" s="17" t="str">
        <x:f>IFERROR(HYPERLINK("https://www2027.thewebconf.org/important-dates/","https://www2027.thewebconf.org/important-dates/"),"https://www2027.thewebconf.org/important-dates/")</x:f>
        <x:v>https://www2027.thewebconf.org/important-dates/</x:v>
      </x:c>
      <x:c r="R7" s="14" t="n">
        <x:v>46314</x:v>
      </x:c>
      <x:c r="S7" s="15" t="n">
        <x:f>IF(D7="","",D7-'Начать здесь'!$B$3)</x:f>
        <x:v>28</x:v>
      </x:c>
    </x:row>
    <x:row r="8" ht="96" customHeight="1">
      <x:c r="A8" s="10" t="str">
        <x:v>C03</x:v>
      </x:c>
      <x:c r="B8" s="10" t="str">
        <x:v>WWW 2027 · Full Research</x:v>
      </x:c>
      <x:c r="C8" s="10" t="str">
        <x:v>Abstract: 19.10 до 14:59 МСК</x:v>
      </x:c>
      <x:c r="D8" s="11" t="n">
        <x:v>46320</x:v>
      </x:c>
      <x:c r="E8" s="11" t="n">
        <x:v>46313</x:v>
      </x:c>
      <x:c r="F8" s="10" t="str">
        <x:v>23:59 AoE (UTC−12)</x:v>
      </x:c>
      <x:c r="G8" s="11" t="n">
        <x:v>46391</x:v>
      </x:c>
      <x:c r="H8" s="11" t="n">
        <x:v>46418</x:v>
      </x:c>
      <x:c r="I8" s="10" t="str">
        <x:v>10–14.05.2027</x:v>
      </x:c>
      <x:c r="J8" s="10" t="str">
        <x:v>Дублин, Ирландия</x:v>
      </x:c>
      <x:c r="K8" s="10" t="str">
        <x:v>C · только готовая работа</x:v>
      </x:c>
      <x:c r="L8" s="10" t="str">
        <x:v>Web recommendation / scalable systems</x:v>
      </x:c>
      <x:c r="M8" s="10" t="str">
        <x:v>8 стр. main; ≤12 всего с refs/appendix; ACM, double-blind.</x:v>
      </x:c>
      <x:c r="N8" s="10" t="str">
        <x:v>Полноценный метод и убедительная оценка эффективности на последовательностях.</x:v>
      </x:c>
      <x:c r="O8" s="10" t="str">
        <x:v>Abstract 18.10, 23:59 AoE = 19.10, 14:59 МСК. После этого полный текст 25.10 AoE доступен только с вовремя зарегистрированным abstract. Не считать срок закрытым по одной календарной дате без учёта AoE. Rebuttal 15–20 декабря.</x:v>
      </x:c>
      <x:c r="P8" s="16" t="str">
        <x:f>IFERROR(HYPERLINK("https://www2027.thewebconf.org/research-track-papers/","https://www2027.thewebconf.org/research-track-papers/"),"https://www2027.thewebconf.org/research-track-papers/")</x:f>
        <x:v>https://www2027.thewebconf.org/research-track-papers/</x:v>
      </x:c>
      <x:c r="Q8" s="16" t="str">
        <x:f>IFERROR(HYPERLINK("https://www2027.thewebconf.org/important-dates/","https://www2027.thewebconf.org/important-dates/"),"https://www2027.thewebconf.org/important-dates/")</x:f>
        <x:v>https://www2027.thewebconf.org/important-dates/</x:v>
      </x:c>
      <x:c r="R8" s="11" t="n">
        <x:v>46314</x:v>
      </x:c>
      <x:c r="S8" s="12" t="n">
        <x:f>IF(D8="","",D8-'Начать здесь'!$B$3)</x:f>
        <x:v>6</x:v>
      </x:c>
    </x:row>
    <x:row r="9" ht="96" customHeight="1">
      <x:c r="A9" s="13" t="str">
        <x:v>C04</x:v>
      </x:c>
      <x:c r="B9" s="13" t="str">
        <x:v>ECIR 2027 · Resource Papers</x:v>
      </x:c>
      <x:c r="C9" s="13" t="str">
        <x:v>Будущий</x:v>
      </x:c>
      <x:c r="D9" s="14" t="n">
        <x:v>46328</x:v>
      </x:c>
      <x:c r="E9" s="14"/>
      <x:c r="F9" s="13" t="str">
        <x:v>В CFP время/зона не указаны</x:v>
      </x:c>
      <x:c r="G9" s="14" t="n">
        <x:v>46363</x:v>
      </x:c>
      <x:c r="H9" s="14"/>
      <x:c r="I9" s="13" t="str">
        <x:v>21–25.03.2027</x:v>
      </x:c>
      <x:c r="J9" s="13" t="str">
        <x:v>Саутгемптон, Великобритания</x:v>
      </x:c>
      <x:c r="K9" s="13" t="str">
        <x:v>B · только с ресурсом</x:v>
      </x:c>
      <x:c r="L9" s="13" t="str">
        <x:v>Benchmark / reproducibility framework</x:v>
      </x:c>
      <x:c r="M9" s="13" t="str">
        <x:v>≤12 стр. + refs; Springer LNCS; single-blind; LNCS proceedings.</x:v>
      </x:c>
      <x:c r="N9" s="13" t="str">
        <x:v>Открытый replay/benchmark framework для обслуживания user representations.</x:v>
      </x:c>
      <x:c r="O9" s="13" t="str">
        <x:v>Ресурс должен быть доступен рецензентам с документацией и лицензией. Обычный эксперимент на Yambda не заменяет ресурс. Очно.</x:v>
      </x:c>
      <x:c r="P9" s="17" t="str">
        <x:f>IFERROR(HYPERLINK("https://www.ecir2027.co.uk/call-for-resource-papers","https://www.ecir2027.co.uk/call-for-resource-papers"),"https://www.ecir2027.co.uk/call-for-resource-papers")</x:f>
        <x:v>https://www.ecir2027.co.uk/call-for-resource-papers</x:v>
      </x:c>
      <x:c r="Q9" s="17" t="str"/>
      <x:c r="R9" s="14" t="n">
        <x:v>46314</x:v>
      </x:c>
      <x:c r="S9" s="15" t="n">
        <x:f>IF(D9="","",D9-'Начать здесь'!$B$3)</x:f>
        <x:v>14</x:v>
      </x:c>
    </x:row>
    <x:row r="10" ht="96" customHeight="1">
      <x:c r="A10" s="10" t="str">
        <x:v>C05</x:v>
      </x:c>
      <x:c r="B10" s="10" t="str">
        <x:v>WWW 2027 · Resource Submissions</x:v>
      </x:c>
      <x:c r="C10" s="10" t="str">
        <x:v>Будущий</x:v>
      </x:c>
      <x:c r="D10" s="11" t="n">
        <x:v>46373</x:v>
      </x:c>
      <x:c r="E10" s="11"/>
      <x:c r="F10" s="10" t="str">
        <x:v>23:59 AoE (UTC−12)</x:v>
      </x:c>
      <x:c r="G10" s="11" t="n">
        <x:v>46407</x:v>
      </x:c>
      <x:c r="H10" s="11" t="n">
        <x:v>46435</x:v>
      </x:c>
      <x:c r="I10" s="10" t="str">
        <x:v>10–14.05.2027</x:v>
      </x:c>
      <x:c r="J10" s="10" t="str">
        <x:v>Дублин, Ирландия</x:v>
      </x:c>
      <x:c r="K10" s="10" t="str">
        <x:v>B · только с ресурсом</x:v>
      </x:c>
      <x:c r="L10" s="10" t="str">
        <x:v>Reusable evaluation software</x:v>
      </x:c>
      <x:c r="M10" s="10" t="str">
        <x:v>≤4 стр. ВКЛЮЧАЯ refs; ACM, single-blind.</x:v>
      </x:c>
      <x:c r="N10" s="10" t="str">
        <x:v>Публичный runnable toolkit для cache-refresh / replay экспериментов.</x:v>
      </x:c>
      <x:c r="O10" s="10" t="str">
        <x:v>Нужны стабильная ссылка, открытая лицензия, документация; для software — live runnable demo. Camera-ready помечен Extended.</x:v>
      </x:c>
      <x:c r="P10" s="16" t="str">
        <x:f>IFERROR(HYPERLINK("https://www2027.thewebconf.org/resource-submissions/","https://www2027.thewebconf.org/resource-submissions/"),"https://www2027.thewebconf.org/resource-submissions/")</x:f>
        <x:v>https://www2027.thewebconf.org/resource-submissions/</x:v>
      </x:c>
      <x:c r="Q10" s="16" t="str"/>
      <x:c r="R10" s="11" t="n">
        <x:v>46314</x:v>
      </x:c>
      <x:c r="S10" s="12" t="n">
        <x:f>IF(D10="","",D10-'Начать здесь'!$B$3)</x:f>
        <x:v>59</x:v>
      </x:c>
    </x:row>
    <x:row r="11" ht="96" customHeight="1">
      <x:c r="A11" s="13" t="str">
        <x:v>C06</x:v>
      </x:c>
      <x:c r="B11" s="13" t="str">
        <x:v>ECIR 2027 · Replicability</x:v>
      </x:c>
      <x:c r="C11" s="13" t="str">
        <x:v>Сегодня; только с abstract</x:v>
      </x:c>
      <x:c r="D11" s="14" t="n">
        <x:v>46314</x:v>
      </x:c>
      <x:c r="E11" s="14" t="n">
        <x:v>46307</x:v>
      </x:c>
      <x:c r="F11" s="13" t="str">
        <x:v>В CFP время/зона не указаны</x:v>
      </x:c>
      <x:c r="G11" s="14" t="n">
        <x:v>46363</x:v>
      </x:c>
      <x:c r="H11" s="14"/>
      <x:c r="I11" s="13" t="str">
        <x:v>21–25.03.2027</x:v>
      </x:c>
      <x:c r="J11" s="13" t="str">
        <x:v>Саутгемптон, Великобритания</x:v>
      </x:c>
      <x:c r="K11" s="13" t="str">
        <x:v>B · если abstract уже подан</x:v>
      </x:c>
      <x:c r="L11" s="13" t="str">
        <x:v>Воспроизведение опубликованных методов</x:v>
      </x:c>
      <x:c r="M11" s="13" t="str">
        <x:v>≤12 стр. + refs; LNCS, double-blind; код/артефакты для рецензентов.</x:v>
      </x:c>
      <x:c r="N11" s="13" t="str">
        <x:v>Независимое воспроизведение выводов о cached / efficient user modeling.</x:v>
      </x:c>
      <x:c r="O11" s="13" t="str">
        <x:v>Paper deadline — сегодня, 19.10; час и зона в CFP не указаны. Рассматривать только с abstract, зарегистрированным до 12.10. Нужна независимая репликация опубликованной работы, а не только новая модель.</x:v>
      </x:c>
      <x:c r="P11" s="17" t="str">
        <x:f>IFERROR(HYPERLINK("https://www.ecir2027.co.uk/call-for-reproducibility-papers","https://www.ecir2027.co.uk/call-for-reproducibility-papers"),"https://www.ecir2027.co.uk/call-for-reproducibility-papers")</x:f>
        <x:v>https://www.ecir2027.co.uk/call-for-reproducibility-papers</x:v>
      </x:c>
      <x:c r="Q11" s="17" t="str"/>
      <x:c r="R11" s="14" t="n">
        <x:v>46314</x:v>
      </x:c>
      <x:c r="S11" s="15" t="n">
        <x:f>IF(D11="","",D11-'Начать здесь'!$B$3)</x:f>
        <x:v>0</x:v>
      </x:c>
    </x:row>
    <x:row r="12" ht="96" customHeight="1">
      <x:c r="A12" s="10" t="str">
        <x:v>C07</x:v>
      </x:c>
      <x:c r="B12" s="10" t="str">
        <x:v>ECIR 2027 · Short Papers</x:v>
      </x:c>
      <x:c r="C12" s="10" t="str">
        <x:v>Закрыто</x:v>
      </x:c>
      <x:c r="D12" s="11" t="n">
        <x:v>46307</x:v>
      </x:c>
      <x:c r="E12" s="11" t="n">
        <x:v>46300</x:v>
      </x:c>
      <x:c r="F12" s="10" t="str">
        <x:v>В CFP время/зона не указаны</x:v>
      </x:c>
      <x:c r="G12" s="11" t="n">
        <x:v>46363</x:v>
      </x:c>
      <x:c r="H12" s="11"/>
      <x:c r="I12" s="10" t="str">
        <x:v>21–25.03.2027</x:v>
      </x:c>
      <x:c r="J12" s="10" t="str">
        <x:v>Саутгемптон, Великобритания</x:v>
      </x:c>
      <x:c r="K12" s="10" t="str">
        <x:v>A · следующий цикл</x:v>
      </x:c>
      <x:c r="L12" s="10" t="str">
        <x:v>Focused recommendation / evaluation study</x:v>
      </x:c>
      <x:c r="M12" s="10" t="str">
        <x:v>≤6 стр. + refs; LNCS, double-blind.</x:v>
      </x:c>
      <x:c r="N12" s="10" t="str">
        <x:v>Небольшое завершённое исследование freshness и качества.</x:v>
      </x:c>
      <x:c r="O12" s="10" t="str">
        <x:v>Предварительная идея должна иметь эмпирическое или теоретическое обоснование. Срок 2026 уже прошёл, хотя мероприятие 2027.</x:v>
      </x:c>
      <x:c r="P12" s="16" t="str">
        <x:f>IFERROR(HYPERLINK("https://www.ecir2027.co.uk/call-for-short-papers","https://www.ecir2027.co.uk/call-for-short-papers"),"https://www.ecir2027.co.uk/call-for-short-papers")</x:f>
        <x:v>https://www.ecir2027.co.uk/call-for-short-papers</x:v>
      </x:c>
      <x:c r="Q12" s="16" t="str"/>
      <x:c r="R12" s="11" t="n">
        <x:v>46309</x:v>
      </x:c>
      <x:c r="S12" s="12" t="n">
        <x:f>IF(D12="","",D12-'Начать здесь'!$B$3)</x:f>
        <x:v>-7</x:v>
      </x:c>
    </x:row>
    <x:row r="13" ht="96" customHeight="1">
      <x:c r="A13" s="13" t="str">
        <x:v>C08</x:v>
      </x:c>
      <x:c r="B13" s="13" t="str">
        <x:v>RecSys 2026 · Long / Short</x:v>
      </x:c>
      <x:c r="C13" s="13" t="str">
        <x:v>Закрыто</x:v>
      </x:c>
      <x:c r="D13" s="14" t="n">
        <x:v>46133</x:v>
      </x:c>
      <x:c r="E13" s="14" t="n">
        <x:v>46126</x:v>
      </x:c>
      <x:c r="F13" s="13" t="str">
        <x:v>23:59 AoE (UTC−12)</x:v>
      </x:c>
      <x:c r="G13" s="14" t="n">
        <x:v>46212</x:v>
      </x:c>
      <x:c r="H13" s="14" t="n">
        <x:v>46230</x:v>
      </x:c>
      <x:c r="I13" s="13" t="str">
        <x:v>28.09–02.10.2026</x:v>
      </x:c>
      <x:c r="J13" s="13" t="str">
        <x:v>Миннеаполис, США</x:v>
      </x:c>
      <x:c r="K13" s="13" t="str">
        <x:v>A · следующий цикл</x:v>
      </x:c>
      <x:c r="L13" s="13" t="str">
        <x:v>Основная профильная конференция</x:v>
      </x:c>
      <x:c r="M13" s="13" t="str">
        <x:v>Long ≤8, short ≤4 стр. + refs; ACM, double-blind; ACM proceedings.</x:v>
      </x:c>
      <x:c r="N13" s="13" t="str">
        <x:v>Sequential recommendation и вычислительная цена обслуживания профилей.</x:v>
      </x:c>
      <x:c r="O13" s="13" t="str">
        <x:v>Short — самостоятельный, экспериментально проверенный вклад. Офлайн-оценка допустима при соответствии выводам. Даты следующего CFP не экстраполировать.</x:v>
      </x:c>
      <x:c r="P13" s="17" t="str">
        <x:f>IFERROR(HYPERLINK("https://recsys.acm.org/recsys26/call/","https://recsys.acm.org/recsys26/call/"),"https://recsys.acm.org/recsys26/call/")</x:f>
        <x:v>https://recsys.acm.org/recsys26/call/</x:v>
      </x:c>
      <x:c r="Q13" s="17" t="str"/>
      <x:c r="R13" s="14" t="n">
        <x:v>46309</x:v>
      </x:c>
      <x:c r="S13" s="15" t="n">
        <x:f>IF(D13="","",D13-'Начать здесь'!$B$3)</x:f>
        <x:v>-181</x:v>
      </x:c>
    </x:row>
    <x:row r="14" ht="96" customHeight="1">
      <x:c r="A14" s="10" t="str">
        <x:v>C09</x:v>
      </x:c>
      <x:c r="B14" s="10" t="str">
        <x:v>RecSys 2026 · Reproducibility / Resources</x:v>
      </x:c>
      <x:c r="C14" s="10" t="str">
        <x:v>Закрыто</x:v>
      </x:c>
      <x:c r="D14" s="11" t="n">
        <x:v>46147</x:v>
      </x:c>
      <x:c r="E14" s="11" t="n">
        <x:v>46140</x:v>
      </x:c>
      <x:c r="F14" s="10" t="str">
        <x:v>23:59 AoE (UTC−12)</x:v>
      </x:c>
      <x:c r="G14" s="11" t="n">
        <x:v>46212</x:v>
      </x:c>
      <x:c r="H14" s="11" t="n">
        <x:v>46230</x:v>
      </x:c>
      <x:c r="I14" s="10" t="str">
        <x:v>28.09–02.10.2026</x:v>
      </x:c>
      <x:c r="J14" s="10" t="str">
        <x:v>Миннеаполис, США</x:v>
      </x:c>
      <x:c r="K14" s="10" t="str">
        <x:v>A · следующий цикл</x:v>
      </x:c>
      <x:c r="L14" s="10" t="str">
        <x:v>Reproduction / resources</x:v>
      </x:c>
      <x:c r="M14" s="10" t="str">
        <x:v>ACM; reproduction anonymous, resource с авторами; лимит уточнять для типа статьи.</x:v>
      </x:c>
      <x:c r="N14" s="10" t="str">
        <x:v>Воспроизведение efficient RecSys или открытый framework.</x:v>
      </x:c>
      <x:c r="O14" s="10" t="str">
        <x:v>Артефакты обязательны. В 2026 чисто methodological/reflective papers перенесены в main track — одного протокола для этого трека недостаточно.</x:v>
      </x:c>
      <x:c r="P14" s="16" t="str">
        <x:f>IFERROR(HYPERLINK("https://recsys.acm.org/recsys26/call/","https://recsys.acm.org/recsys26/call/"),"https://recsys.acm.org/recsys26/call/")</x:f>
        <x:v>https://recsys.acm.org/recsys26/call/</x:v>
      </x:c>
      <x:c r="Q14" s="16" t="str"/>
      <x:c r="R14" s="11" t="n">
        <x:v>46309</x:v>
      </x:c>
      <x:c r="S14" s="12" t="n">
        <x:f>IF(D14="","",D14-'Начать здесь'!$B$3)</x:f>
        <x:v>-167</x:v>
      </x:c>
    </x:row>
    <x:row r="15" ht="96" customHeight="1">
      <x:c r="A15" s="13" t="str">
        <x:v>C10</x:v>
      </x:c>
      <x:c r="B15" s="13" t="str">
        <x:v>UMAP 2026 · Full / Short</x:v>
      </x:c>
      <x:c r="C15" s="13" t="str">
        <x:v>Закрыто</x:v>
      </x:c>
      <x:c r="D15" s="14" t="n">
        <x:v>46051</x:v>
      </x:c>
      <x:c r="E15" s="14" t="n">
        <x:v>46044</x:v>
      </x:c>
      <x:c r="F15" s="13" t="str">
        <x:v>23:59 AoE (UTC−12)</x:v>
      </x:c>
      <x:c r="G15" s="14" t="n">
        <x:v>46106</x:v>
      </x:c>
      <x:c r="H15" s="14" t="n">
        <x:v>46122</x:v>
      </x:c>
      <x:c r="I15" s="13" t="str">
        <x:v>08–11.06.2026</x:v>
      </x:c>
      <x:c r="J15" s="13" t="str">
        <x:v>Гётеборг, Швеция</x:v>
      </x:c>
      <x:c r="K15" s="13" t="str">
        <x:v>B · следующий цикл</x:v>
      </x:c>
      <x:c r="L15" s="13" t="str">
        <x:v>User modeling / long-term personalization</x:v>
      </x:c>
      <x:c r="M15" s="13" t="str">
        <x:v>Long ≤8, short ≤4 стр. + refs; ACM, double-blind; ACM DL.</x:v>
      </x:c>
      <x:c r="N15" s="13" t="str">
        <x:v>Динамическая модель пользователя и компромисс ресурсов/качества персонализации.</x:v>
      </x:c>
      <x:c r="O15" s="13" t="str">
        <x:v>Обосновать вклад в user modeling. Не industry track: промышленное внедрение не заявлено.</x:v>
      </x:c>
      <x:c r="P15" s="17" t="str">
        <x:f>IFERROR(HYPERLINK("https://www.um.org/umap2026/call-for-full-short-papers/","https://www.um.org/umap2026/call-for-full-short-papers/"),"https://www.um.org/umap2026/call-for-full-short-papers/")</x:f>
        <x:v>https://www.um.org/umap2026/call-for-full-short-papers/</x:v>
      </x:c>
      <x:c r="Q15" s="17" t="str"/>
      <x:c r="R15" s="14" t="n">
        <x:v>46309</x:v>
      </x:c>
      <x:c r="S15" s="15" t="n">
        <x:f>IF(D15="","",D15-'Начать здесь'!$B$3)</x:f>
        <x:v>-263</x:v>
      </x:c>
    </x:row>
    <x:row r="16" ht="96" customHeight="1">
      <x:c r="A16" s="10" t="str">
        <x:v>C11</x:v>
      </x:c>
      <x:c r="B16" s="10" t="str">
        <x:v>CIKM 2026 · Short Research</x:v>
      </x:c>
      <x:c r="C16" s="10" t="str">
        <x:v>Закрыто</x:v>
      </x:c>
      <x:c r="D16" s="11" t="n">
        <x:v>46179</x:v>
      </x:c>
      <x:c r="E16" s="11" t="n">
        <x:v>46172</x:v>
      </x:c>
      <x:c r="F16" s="10" t="str">
        <x:v>23:59 AoE (UTC−12)</x:v>
      </x:c>
      <x:c r="G16" s="11" t="n">
        <x:v>46241</x:v>
      </x:c>
      <x:c r="H16" s="11" t="n">
        <x:v>46257</x:v>
      </x:c>
      <x:c r="I16" s="10" t="str">
        <x:v>07–11.11.2026</x:v>
      </x:c>
      <x:c r="J16" s="10" t="str">
        <x:v>Рим, Италия</x:v>
      </x:c>
      <x:c r="K16" s="10" t="str">
        <x:v>A · следующий цикл</x:v>
      </x:c>
      <x:c r="L16" s="10" t="str">
        <x:v>Neural recommendation / evaluation</x:v>
      </x:c>
      <x:c r="M16" s="10" t="str">
        <x:v>Short Research; точный лимит сверить в отдельном CFP.</x:v>
      </x:c>
      <x:c r="N16" s="10" t="str">
        <x:v>Компактное экспериментальное исследование обслуживания представлений.</x:v>
      </x:c>
      <x:c r="O16" s="10" t="str">
        <x:v>Отдельный трек основной конференции. Воркшопы имеют собственные сроки, а не общий recommended 24 августа.</x:v>
      </x:c>
      <x:c r="P16" s="16" t="str">
        <x:f>IFERROR(HYPERLINK("https://cikm2026.diag.uniroma1.it/","https://cikm2026.diag.uniroma1.it/"),"https://cikm2026.diag.uniroma1.it/")</x:f>
        <x:v>https://cikm2026.diag.uniroma1.it/</x:v>
      </x:c>
      <x:c r="Q16" s="16" t="str"/>
      <x:c r="R16" s="11" t="n">
        <x:v>46309</x:v>
      </x:c>
      <x:c r="S16" s="12" t="n">
        <x:f>IF(D16="","",D16-'Начать здесь'!$B$3)</x:f>
        <x:v>-135</x:v>
      </x:c>
    </x:row>
    <x:row r="17" ht="96" customHeight="1">
      <x:c r="A17" s="13" t="str">
        <x:v>C12</x:v>
      </x:c>
      <x:c r="B17" s="13" t="str">
        <x:v>CIKM 2026 · Full Research</x:v>
      </x:c>
      <x:c r="C17" s="13" t="str">
        <x:v>Закрыто</x:v>
      </x:c>
      <x:c r="D17" s="14" t="n">
        <x:v>46165</x:v>
      </x:c>
      <x:c r="E17" s="14" t="n">
        <x:v>46158</x:v>
      </x:c>
      <x:c r="F17" s="13" t="str">
        <x:v>23:59 AoE (UTC−12)</x:v>
      </x:c>
      <x:c r="G17" s="14" t="n">
        <x:v>46241</x:v>
      </x:c>
      <x:c r="H17" s="14" t="n">
        <x:v>46257</x:v>
      </x:c>
      <x:c r="I17" s="13" t="str">
        <x:v>07–11.11.2026</x:v>
      </x:c>
      <x:c r="J17" s="13" t="str">
        <x:v>Рим, Италия</x:v>
      </x:c>
      <x:c r="K17" s="13" t="str">
        <x:v>B · следующий цикл</x:v>
      </x:c>
      <x:c r="L17" s="13" t="str">
        <x:v>Scalable recommendation / systems</x:v>
      </x:c>
      <x:c r="M17" s="13" t="str">
        <x:v>Full Research; точный лимит сверить в отдельном CFP.</x:v>
      </x:c>
      <x:c r="N17" s="13" t="str">
        <x:v>Полноценный метод кэширования и воспроизводимая оценка.</x:v>
      </x:c>
      <x:c r="O17" s="13" t="str">
        <x:v>Срок прошёл; дата мероприятия в ноябре не означает открытую подачу.</x:v>
      </x:c>
      <x:c r="P17" s="17" t="str">
        <x:f>IFERROR(HYPERLINK("https://cikm2026.diag.uniroma1.it/","https://cikm2026.diag.uniroma1.it/"),"https://cikm2026.diag.uniroma1.it/")</x:f>
        <x:v>https://cikm2026.diag.uniroma1.it/</x:v>
      </x:c>
      <x:c r="Q17" s="17" t="str"/>
      <x:c r="R17" s="14" t="n">
        <x:v>46309</x:v>
      </x:c>
      <x:c r="S17" s="15" t="n">
        <x:f>IF(D17="","",D17-'Начать здесь'!$B$3)</x:f>
        <x:v>-149</x:v>
      </x:c>
    </x:row>
    <x:row r="18" ht="96" customHeight="1">
      <x:c r="A18" s="10" t="str">
        <x:v>C13</x:v>
      </x:c>
      <x:c r="B18" s="10" t="str">
        <x:v>SIGIR 2027 · Full Papers</x:v>
      </x:c>
      <x:c r="C18" s="10" t="str">
        <x:v>Следующий год; PROPOSED</x:v>
      </x:c>
      <x:c r="D18" s="11" t="n">
        <x:v>46408</x:v>
      </x:c>
      <x:c r="E18" s="11" t="n">
        <x:v>46401</x:v>
      </x:c>
      <x:c r="F18" s="10" t="str">
        <x:v>23:59 AoE (UTC−12)</x:v>
      </x:c>
      <x:c r="G18" s="11" t="n">
        <x:v>46482</x:v>
      </x:c>
      <x:c r="H18" s="11" t="n">
        <x:v>46507</x:v>
      </x:c>
      <x:c r="I18" s="10" t="str">
        <x:v>19–24.07.2027</x:v>
      </x:c>
      <x:c r="J18" s="10" t="str">
        <x:v>Сан-Хосе, США</x:v>
      </x:c>
      <x:c r="K18" s="10" t="str">
        <x:v>B · зрелые результаты</x:v>
      </x:c>
      <x:c r="L18" s="10" t="str">
        <x:v>Efficiency / recommendation / evaluation</x:v>
      </x:c>
      <x:c r="M18" s="10" t="str">
        <x:v>≤9 стр. + refs; ACM, anonymous; после принятия 10 + refs.</x:v>
      </x:c>
      <x:c r="N18" s="10" t="str">
        <x:v>Полная оценка cost–quality trade-off с сильными baseline и ablation.</x:v>
      </x:c>
      <x:c r="O18" s="10" t="str">
        <x:v>Повторная проверка 19.10: Full CFP по-прежнему помечает даты PROPOSED. Short CFP пока заглушка без сроков. До фиксации считать предварительными; abstract обязателен. Workshop CFP проверять отдельно.</x:v>
      </x:c>
      <x:c r="P18" s="16" t="str">
        <x:f>IFERROR(HYPERLINK("https://sigir2027.org/pages/submit-full.html","https://sigir2027.org/pages/submit-full.html"),"https://sigir2027.org/pages/submit-full.html")</x:f>
        <x:v>https://sigir2027.org/pages/submit-full.html</x:v>
      </x:c>
      <x:c r="Q18" s="16" t="str">
        <x:f>IFERROR(HYPERLINK("https://sigir2027.org/","https://sigir2027.org/"),"https://sigir2027.org/")</x:f>
        <x:v>https://sigir2027.org/</x:v>
      </x:c>
      <x:c r="R18" s="11" t="n">
        <x:v>46314</x:v>
      </x:c>
      <x:c r="S18" s="12" t="n">
        <x:f>IF(D18="","",D18-'Начать здесь'!$B$3)</x:f>
        <x:v>94</x:v>
      </x:c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</x:sheetData>
  <x:conditionalFormatting sqref="C6:C18">
    <x:cfRule type="containsText" dxfId="3" priority="1" operator="containsText" text="Закрыто"/>
    <x:cfRule type="containsText" dxfId="4" priority="2" operator="containsText" text="Будущий"/>
    <x:cfRule type="containsText" dxfId="5" priority="3" operator="containsText" text="Ждать"/>
  </x:conditionalFormatting>
  <x:pageMargins left="0.7" right="0.7" top="0.75" bottom="0.75" header="0.3" footer="0.3"/>
  <x:tableParts count="1">
    <x:tablePart xmlns:r="http://schemas.openxmlformats.org/officeDocument/2006/relationships" r:id="R5fe0013687114bc1"/>
  </x:tableParts>
</x:worksheet>
</file>